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IA\Downloads\"/>
    </mc:Choice>
  </mc:AlternateContent>
  <xr:revisionPtr revIDLastSave="0" documentId="13_ncr:1_{B3F29CE7-3EA9-4C34-AFAA-4BB568900A60}" xr6:coauthVersionLast="47" xr6:coauthVersionMax="47" xr10:uidLastSave="{00000000-0000-0000-0000-000000000000}"/>
  <bookViews>
    <workbookView xWindow="-23148" yWindow="-96" windowWidth="23256" windowHeight="12456" tabRatio="500" firstSheet="2" activeTab="6" xr2:uid="{00000000-000D-0000-FFFF-FFFF00000000}"/>
  </bookViews>
  <sheets>
    <sheet name="Portada" sheetId="1" r:id="rId1"/>
    <sheet name="Inventario_Activos" sheetId="2" r:id="rId2"/>
    <sheet name="Riesgos" sheetId="3" r:id="rId3"/>
    <sheet name="Matriz_Calor" sheetId="4" r:id="rId4"/>
    <sheet name="Tratamiento" sheetId="5" r:id="rId5"/>
    <sheet name="Escalas" sheetId="6" r:id="rId6"/>
    <sheet name="Top10_y_Grafica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5" l="1"/>
  <c r="B15" i="5"/>
  <c r="B14" i="5"/>
  <c r="B13" i="5"/>
  <c r="B12" i="5"/>
  <c r="B11" i="5"/>
  <c r="B10" i="5"/>
  <c r="B9" i="5"/>
  <c r="C8" i="5"/>
  <c r="B8" i="5"/>
  <c r="C7" i="5"/>
  <c r="B7" i="5"/>
  <c r="B6" i="5"/>
  <c r="B5" i="5"/>
  <c r="B4" i="5"/>
  <c r="B3" i="5"/>
  <c r="B2" i="5"/>
  <c r="B10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Q151" i="3"/>
  <c r="L151" i="3"/>
  <c r="K151" i="3"/>
  <c r="J151" i="3"/>
  <c r="D151" i="3"/>
  <c r="C151" i="3"/>
  <c r="B151" i="3"/>
  <c r="L150" i="3"/>
  <c r="M150" i="3" s="1"/>
  <c r="N150" i="3" s="1"/>
  <c r="K150" i="3"/>
  <c r="J150" i="3"/>
  <c r="Q150" i="3" s="1"/>
  <c r="D150" i="3"/>
  <c r="C150" i="3"/>
  <c r="B150" i="3"/>
  <c r="Q149" i="3"/>
  <c r="K149" i="3"/>
  <c r="J149" i="3"/>
  <c r="D149" i="3"/>
  <c r="L149" i="3" s="1"/>
  <c r="M149" i="3" s="1"/>
  <c r="N149" i="3" s="1"/>
  <c r="C149" i="3"/>
  <c r="B149" i="3"/>
  <c r="J148" i="3"/>
  <c r="K148" i="3" s="1"/>
  <c r="D148" i="3"/>
  <c r="C148" i="3"/>
  <c r="B148" i="3"/>
  <c r="Q147" i="3"/>
  <c r="L147" i="3"/>
  <c r="K147" i="3"/>
  <c r="J147" i="3"/>
  <c r="D147" i="3"/>
  <c r="C147" i="3"/>
  <c r="B147" i="3"/>
  <c r="L146" i="3"/>
  <c r="M146" i="3" s="1"/>
  <c r="N146" i="3" s="1"/>
  <c r="K146" i="3"/>
  <c r="J146" i="3"/>
  <c r="Q146" i="3" s="1"/>
  <c r="D146" i="3"/>
  <c r="C146" i="3"/>
  <c r="B146" i="3"/>
  <c r="Q145" i="3"/>
  <c r="K145" i="3"/>
  <c r="J145" i="3"/>
  <c r="D145" i="3"/>
  <c r="C145" i="3"/>
  <c r="B145" i="3"/>
  <c r="L144" i="3"/>
  <c r="J144" i="3"/>
  <c r="D144" i="3"/>
  <c r="C144" i="3"/>
  <c r="B144" i="3"/>
  <c r="L143" i="3"/>
  <c r="K143" i="3"/>
  <c r="J143" i="3"/>
  <c r="D143" i="3"/>
  <c r="C143" i="3"/>
  <c r="B143" i="3"/>
  <c r="N142" i="3"/>
  <c r="L142" i="3"/>
  <c r="M142" i="3" s="1"/>
  <c r="K142" i="3"/>
  <c r="J142" i="3"/>
  <c r="Q142" i="3" s="1"/>
  <c r="D142" i="3"/>
  <c r="C142" i="3"/>
  <c r="B142" i="3"/>
  <c r="Q141" i="3"/>
  <c r="K141" i="3"/>
  <c r="J141" i="3"/>
  <c r="D141" i="3"/>
  <c r="L141" i="3" s="1"/>
  <c r="M141" i="3" s="1"/>
  <c r="N141" i="3" s="1"/>
  <c r="C141" i="3"/>
  <c r="B141" i="3"/>
  <c r="J140" i="3"/>
  <c r="K140" i="3" s="1"/>
  <c r="D140" i="3"/>
  <c r="C140" i="3"/>
  <c r="B140" i="3"/>
  <c r="Q139" i="3"/>
  <c r="L139" i="3"/>
  <c r="K139" i="3"/>
  <c r="J139" i="3"/>
  <c r="D139" i="3"/>
  <c r="C139" i="3"/>
  <c r="B139" i="3"/>
  <c r="L138" i="3"/>
  <c r="M138" i="3" s="1"/>
  <c r="N138" i="3" s="1"/>
  <c r="K138" i="3"/>
  <c r="J138" i="3"/>
  <c r="Q138" i="3" s="1"/>
  <c r="D138" i="3"/>
  <c r="C138" i="3"/>
  <c r="B138" i="3"/>
  <c r="Q137" i="3"/>
  <c r="K137" i="3"/>
  <c r="J137" i="3"/>
  <c r="D137" i="3"/>
  <c r="C137" i="3"/>
  <c r="B137" i="3"/>
  <c r="L136" i="3"/>
  <c r="J136" i="3"/>
  <c r="D136" i="3"/>
  <c r="C136" i="3"/>
  <c r="B136" i="3"/>
  <c r="L135" i="3"/>
  <c r="K135" i="3"/>
  <c r="J135" i="3"/>
  <c r="D135" i="3"/>
  <c r="C135" i="3"/>
  <c r="B135" i="3"/>
  <c r="L134" i="3"/>
  <c r="M134" i="3" s="1"/>
  <c r="N134" i="3" s="1"/>
  <c r="K134" i="3"/>
  <c r="J134" i="3"/>
  <c r="Q134" i="3" s="1"/>
  <c r="D134" i="3"/>
  <c r="C134" i="3"/>
  <c r="B134" i="3"/>
  <c r="Q133" i="3"/>
  <c r="K133" i="3"/>
  <c r="J133" i="3"/>
  <c r="D133" i="3"/>
  <c r="L133" i="3" s="1"/>
  <c r="M133" i="3" s="1"/>
  <c r="N133" i="3" s="1"/>
  <c r="C133" i="3"/>
  <c r="B133" i="3"/>
  <c r="J132" i="3"/>
  <c r="K132" i="3" s="1"/>
  <c r="D132" i="3"/>
  <c r="C132" i="3"/>
  <c r="B132" i="3"/>
  <c r="Q131" i="3"/>
  <c r="L131" i="3"/>
  <c r="K131" i="3"/>
  <c r="J131" i="3"/>
  <c r="D131" i="3"/>
  <c r="C131" i="3"/>
  <c r="B131" i="3"/>
  <c r="L130" i="3"/>
  <c r="M130" i="3" s="1"/>
  <c r="N130" i="3" s="1"/>
  <c r="K130" i="3"/>
  <c r="J130" i="3"/>
  <c r="Q130" i="3" s="1"/>
  <c r="D130" i="3"/>
  <c r="C130" i="3"/>
  <c r="B130" i="3"/>
  <c r="Q129" i="3"/>
  <c r="K129" i="3"/>
  <c r="J129" i="3"/>
  <c r="D129" i="3"/>
  <c r="C129" i="3"/>
  <c r="B129" i="3"/>
  <c r="L128" i="3"/>
  <c r="J128" i="3"/>
  <c r="D128" i="3"/>
  <c r="C128" i="3"/>
  <c r="B128" i="3"/>
  <c r="K127" i="3"/>
  <c r="J127" i="3"/>
  <c r="D127" i="3"/>
  <c r="C127" i="3"/>
  <c r="B127" i="3"/>
  <c r="Q126" i="3"/>
  <c r="K126" i="3"/>
  <c r="J126" i="3"/>
  <c r="D126" i="3"/>
  <c r="L126" i="3" s="1"/>
  <c r="M126" i="3" s="1"/>
  <c r="N126" i="3" s="1"/>
  <c r="C126" i="3"/>
  <c r="B126" i="3"/>
  <c r="Q125" i="3"/>
  <c r="K125" i="3"/>
  <c r="J125" i="3"/>
  <c r="D125" i="3"/>
  <c r="L125" i="3" s="1"/>
  <c r="M125" i="3" s="1"/>
  <c r="N125" i="3" s="1"/>
  <c r="C125" i="3"/>
  <c r="B125" i="3"/>
  <c r="J124" i="3"/>
  <c r="K124" i="3" s="1"/>
  <c r="D124" i="3"/>
  <c r="C124" i="3"/>
  <c r="B124" i="3"/>
  <c r="Q123" i="3"/>
  <c r="L123" i="3"/>
  <c r="J123" i="3"/>
  <c r="D123" i="3"/>
  <c r="C123" i="3"/>
  <c r="B123" i="3"/>
  <c r="Q122" i="3"/>
  <c r="K122" i="3"/>
  <c r="J122" i="3"/>
  <c r="D122" i="3"/>
  <c r="L122" i="3" s="1"/>
  <c r="M122" i="3" s="1"/>
  <c r="N122" i="3" s="1"/>
  <c r="C122" i="3"/>
  <c r="B122" i="3"/>
  <c r="Q121" i="3"/>
  <c r="K121" i="3"/>
  <c r="J121" i="3"/>
  <c r="D121" i="3"/>
  <c r="L121" i="3" s="1"/>
  <c r="M121" i="3" s="1"/>
  <c r="N121" i="3" s="1"/>
  <c r="C121" i="3"/>
  <c r="B121" i="3"/>
  <c r="Q120" i="3"/>
  <c r="L120" i="3"/>
  <c r="M120" i="3" s="1"/>
  <c r="N120" i="3" s="1"/>
  <c r="J120" i="3"/>
  <c r="K120" i="3" s="1"/>
  <c r="D120" i="3"/>
  <c r="C120" i="3"/>
  <c r="B120" i="3"/>
  <c r="J119" i="3"/>
  <c r="D119" i="3"/>
  <c r="L119" i="3" s="1"/>
  <c r="C119" i="3"/>
  <c r="B119" i="3"/>
  <c r="Q118" i="3"/>
  <c r="K118" i="3"/>
  <c r="J118" i="3"/>
  <c r="D118" i="3"/>
  <c r="L118" i="3" s="1"/>
  <c r="M118" i="3" s="1"/>
  <c r="N118" i="3" s="1"/>
  <c r="C118" i="3"/>
  <c r="B118" i="3"/>
  <c r="Q117" i="3"/>
  <c r="K117" i="3"/>
  <c r="J117" i="3"/>
  <c r="D117" i="3"/>
  <c r="C117" i="3"/>
  <c r="B117" i="3"/>
  <c r="J116" i="3"/>
  <c r="K116" i="3" s="1"/>
  <c r="D116" i="3"/>
  <c r="C116" i="3"/>
  <c r="B116" i="3"/>
  <c r="Q115" i="3"/>
  <c r="J115" i="3"/>
  <c r="D115" i="3"/>
  <c r="L115" i="3" s="1"/>
  <c r="C115" i="3"/>
  <c r="B115" i="3"/>
  <c r="Q114" i="3"/>
  <c r="L114" i="3"/>
  <c r="M114" i="3" s="1"/>
  <c r="N114" i="3" s="1"/>
  <c r="K114" i="3"/>
  <c r="J114" i="3"/>
  <c r="D114" i="3"/>
  <c r="C114" i="3"/>
  <c r="B114" i="3"/>
  <c r="Q113" i="3"/>
  <c r="K113" i="3"/>
  <c r="J113" i="3"/>
  <c r="D113" i="3"/>
  <c r="C113" i="3"/>
  <c r="B113" i="3"/>
  <c r="Q112" i="3"/>
  <c r="J112" i="3"/>
  <c r="K112" i="3" s="1"/>
  <c r="D112" i="3"/>
  <c r="C112" i="3"/>
  <c r="B112" i="3"/>
  <c r="J111" i="3"/>
  <c r="D111" i="3"/>
  <c r="L111" i="3" s="1"/>
  <c r="C111" i="3"/>
  <c r="B111" i="3"/>
  <c r="Q110" i="3"/>
  <c r="K110" i="3"/>
  <c r="J110" i="3"/>
  <c r="D110" i="3"/>
  <c r="C110" i="3"/>
  <c r="B110" i="3"/>
  <c r="Q109" i="3"/>
  <c r="K109" i="3"/>
  <c r="J109" i="3"/>
  <c r="D109" i="3"/>
  <c r="C109" i="3"/>
  <c r="B109" i="3"/>
  <c r="J108" i="3"/>
  <c r="K108" i="3" s="1"/>
  <c r="D108" i="3"/>
  <c r="C108" i="3"/>
  <c r="B108" i="3"/>
  <c r="J107" i="3"/>
  <c r="Q107" i="3" s="1"/>
  <c r="D107" i="3"/>
  <c r="C107" i="3"/>
  <c r="B107" i="3"/>
  <c r="Q106" i="3"/>
  <c r="L106" i="3"/>
  <c r="M106" i="3" s="1"/>
  <c r="N106" i="3" s="1"/>
  <c r="K106" i="3"/>
  <c r="J106" i="3"/>
  <c r="D106" i="3"/>
  <c r="C106" i="3"/>
  <c r="B106" i="3"/>
  <c r="Q105" i="3"/>
  <c r="K105" i="3"/>
  <c r="J105" i="3"/>
  <c r="D105" i="3"/>
  <c r="L105" i="3" s="1"/>
  <c r="M105" i="3" s="1"/>
  <c r="N105" i="3" s="1"/>
  <c r="C105" i="3"/>
  <c r="B105" i="3"/>
  <c r="J104" i="3"/>
  <c r="K104" i="3" s="1"/>
  <c r="D104" i="3"/>
  <c r="C104" i="3"/>
  <c r="B104" i="3"/>
  <c r="Q103" i="3"/>
  <c r="L103" i="3"/>
  <c r="K103" i="3"/>
  <c r="J103" i="3"/>
  <c r="D103" i="3"/>
  <c r="C103" i="3"/>
  <c r="B103" i="3"/>
  <c r="Q102" i="3"/>
  <c r="K102" i="3"/>
  <c r="J102" i="3"/>
  <c r="D102" i="3"/>
  <c r="L102" i="3" s="1"/>
  <c r="M102" i="3" s="1"/>
  <c r="N102" i="3" s="1"/>
  <c r="C102" i="3"/>
  <c r="B102" i="3"/>
  <c r="Q101" i="3"/>
  <c r="K101" i="3"/>
  <c r="J101" i="3"/>
  <c r="D101" i="3"/>
  <c r="C101" i="3"/>
  <c r="B101" i="3"/>
  <c r="J100" i="3"/>
  <c r="M100" i="3" s="1"/>
  <c r="N100" i="3" s="1"/>
  <c r="D100" i="3"/>
  <c r="C100" i="3"/>
  <c r="B100" i="3"/>
  <c r="J99" i="3"/>
  <c r="D99" i="3"/>
  <c r="C99" i="3"/>
  <c r="B99" i="3"/>
  <c r="Q98" i="3"/>
  <c r="K98" i="3"/>
  <c r="J98" i="3"/>
  <c r="D98" i="3"/>
  <c r="C98" i="3"/>
  <c r="B98" i="3"/>
  <c r="Q97" i="3"/>
  <c r="K97" i="3"/>
  <c r="J97" i="3"/>
  <c r="D97" i="3"/>
  <c r="C97" i="3"/>
  <c r="B97" i="3"/>
  <c r="J96" i="3"/>
  <c r="K96" i="3" s="1"/>
  <c r="D96" i="3"/>
  <c r="C96" i="3"/>
  <c r="B96" i="3"/>
  <c r="Q95" i="3"/>
  <c r="K95" i="3"/>
  <c r="J95" i="3"/>
  <c r="D95" i="3"/>
  <c r="C95" i="3"/>
  <c r="B95" i="3"/>
  <c r="Q94" i="3"/>
  <c r="K94" i="3"/>
  <c r="J94" i="3"/>
  <c r="D94" i="3"/>
  <c r="C94" i="3"/>
  <c r="B94" i="3"/>
  <c r="Q93" i="3"/>
  <c r="K93" i="3"/>
  <c r="J93" i="3"/>
  <c r="D93" i="3"/>
  <c r="C93" i="3"/>
  <c r="B93" i="3"/>
  <c r="Q92" i="3"/>
  <c r="J92" i="3"/>
  <c r="K92" i="3" s="1"/>
  <c r="D92" i="3"/>
  <c r="C92" i="3"/>
  <c r="B92" i="3"/>
  <c r="J91" i="3"/>
  <c r="D91" i="3"/>
  <c r="L91" i="3" s="1"/>
  <c r="C91" i="3"/>
  <c r="B91" i="3"/>
  <c r="Q90" i="3"/>
  <c r="K90" i="3"/>
  <c r="J90" i="3"/>
  <c r="D90" i="3"/>
  <c r="C90" i="3"/>
  <c r="B90" i="3"/>
  <c r="Q89" i="3"/>
  <c r="K89" i="3"/>
  <c r="J89" i="3"/>
  <c r="D89" i="3"/>
  <c r="C89" i="3"/>
  <c r="B89" i="3"/>
  <c r="J88" i="3"/>
  <c r="K88" i="3" s="1"/>
  <c r="D88" i="3"/>
  <c r="C88" i="3"/>
  <c r="B88" i="3"/>
  <c r="J87" i="3"/>
  <c r="K87" i="3" s="1"/>
  <c r="D87" i="3"/>
  <c r="L87" i="3" s="1"/>
  <c r="C87" i="3"/>
  <c r="B87" i="3"/>
  <c r="Q86" i="3"/>
  <c r="L86" i="3"/>
  <c r="M86" i="3" s="1"/>
  <c r="N86" i="3" s="1"/>
  <c r="K86" i="3"/>
  <c r="J86" i="3"/>
  <c r="D86" i="3"/>
  <c r="C86" i="3"/>
  <c r="B86" i="3"/>
  <c r="Q85" i="3"/>
  <c r="M85" i="3"/>
  <c r="N85" i="3" s="1"/>
  <c r="K85" i="3"/>
  <c r="J85" i="3"/>
  <c r="D85" i="3"/>
  <c r="L85" i="3" s="1"/>
  <c r="C85" i="3"/>
  <c r="B85" i="3"/>
  <c r="Q84" i="3"/>
  <c r="J84" i="3"/>
  <c r="K84" i="3" s="1"/>
  <c r="D84" i="3"/>
  <c r="C84" i="3"/>
  <c r="B84" i="3"/>
  <c r="L83" i="3"/>
  <c r="J83" i="3"/>
  <c r="K83" i="3" s="1"/>
  <c r="D83" i="3"/>
  <c r="C83" i="3"/>
  <c r="B83" i="3"/>
  <c r="Q82" i="3"/>
  <c r="L82" i="3"/>
  <c r="M82" i="3" s="1"/>
  <c r="N82" i="3" s="1"/>
  <c r="K82" i="3"/>
  <c r="J82" i="3"/>
  <c r="D82" i="3"/>
  <c r="C82" i="3"/>
  <c r="B82" i="3"/>
  <c r="Q81" i="3"/>
  <c r="K81" i="3"/>
  <c r="J81" i="3"/>
  <c r="D81" i="3"/>
  <c r="C81" i="3"/>
  <c r="B81" i="3"/>
  <c r="L80" i="3"/>
  <c r="J80" i="3"/>
  <c r="D80" i="3"/>
  <c r="C80" i="3"/>
  <c r="B80" i="3"/>
  <c r="L79" i="3"/>
  <c r="K79" i="3"/>
  <c r="J79" i="3"/>
  <c r="D79" i="3"/>
  <c r="C79" i="3"/>
  <c r="B79" i="3"/>
  <c r="Q78" i="3"/>
  <c r="K78" i="3"/>
  <c r="J78" i="3"/>
  <c r="D78" i="3"/>
  <c r="L78" i="3" s="1"/>
  <c r="M78" i="3" s="1"/>
  <c r="N78" i="3" s="1"/>
  <c r="C78" i="3"/>
  <c r="B78" i="3"/>
  <c r="Q77" i="3"/>
  <c r="K77" i="3"/>
  <c r="J77" i="3"/>
  <c r="D77" i="3"/>
  <c r="L77" i="3" s="1"/>
  <c r="M77" i="3" s="1"/>
  <c r="N77" i="3" s="1"/>
  <c r="C77" i="3"/>
  <c r="B77" i="3"/>
  <c r="L76" i="3"/>
  <c r="J76" i="3"/>
  <c r="K76" i="3" s="1"/>
  <c r="D76" i="3"/>
  <c r="C76" i="3"/>
  <c r="B76" i="3"/>
  <c r="Q75" i="3"/>
  <c r="L75" i="3"/>
  <c r="J75" i="3"/>
  <c r="D75" i="3"/>
  <c r="C75" i="3"/>
  <c r="B75" i="3"/>
  <c r="Q74" i="3"/>
  <c r="K74" i="3"/>
  <c r="J74" i="3"/>
  <c r="D74" i="3"/>
  <c r="L74" i="3" s="1"/>
  <c r="M74" i="3" s="1"/>
  <c r="N74" i="3" s="1"/>
  <c r="C74" i="3"/>
  <c r="B74" i="3"/>
  <c r="Q73" i="3"/>
  <c r="K73" i="3"/>
  <c r="J73" i="3"/>
  <c r="D73" i="3"/>
  <c r="L73" i="3" s="1"/>
  <c r="M73" i="3" s="1"/>
  <c r="N73" i="3" s="1"/>
  <c r="C73" i="3"/>
  <c r="B73" i="3"/>
  <c r="Q72" i="3"/>
  <c r="M72" i="3"/>
  <c r="N72" i="3" s="1"/>
  <c r="L72" i="3"/>
  <c r="J72" i="3"/>
  <c r="K72" i="3" s="1"/>
  <c r="D72" i="3"/>
  <c r="C72" i="3"/>
  <c r="B72" i="3"/>
  <c r="J71" i="3"/>
  <c r="D71" i="3"/>
  <c r="L71" i="3" s="1"/>
  <c r="C71" i="3"/>
  <c r="B71" i="3"/>
  <c r="Q70" i="3"/>
  <c r="K70" i="3"/>
  <c r="J70" i="3"/>
  <c r="D70" i="3"/>
  <c r="L70" i="3" s="1"/>
  <c r="M70" i="3" s="1"/>
  <c r="N70" i="3" s="1"/>
  <c r="C70" i="3"/>
  <c r="B70" i="3"/>
  <c r="Q69" i="3"/>
  <c r="K69" i="3"/>
  <c r="J69" i="3"/>
  <c r="D69" i="3"/>
  <c r="C69" i="3"/>
  <c r="B69" i="3"/>
  <c r="Q68" i="3"/>
  <c r="J68" i="3"/>
  <c r="K68" i="3" s="1"/>
  <c r="D68" i="3"/>
  <c r="C68" i="3"/>
  <c r="B68" i="3"/>
  <c r="Q67" i="3"/>
  <c r="J67" i="3"/>
  <c r="D67" i="3"/>
  <c r="L67" i="3" s="1"/>
  <c r="C67" i="3"/>
  <c r="B67" i="3"/>
  <c r="Q66" i="3"/>
  <c r="L66" i="3"/>
  <c r="M66" i="3" s="1"/>
  <c r="N66" i="3" s="1"/>
  <c r="K66" i="3"/>
  <c r="J66" i="3"/>
  <c r="D66" i="3"/>
  <c r="C66" i="3"/>
  <c r="B66" i="3"/>
  <c r="Q65" i="3"/>
  <c r="K65" i="3"/>
  <c r="J65" i="3"/>
  <c r="D65" i="3"/>
  <c r="C65" i="3"/>
  <c r="B65" i="3"/>
  <c r="Q64" i="3"/>
  <c r="N64" i="3"/>
  <c r="J64" i="3"/>
  <c r="K64" i="3" s="1"/>
  <c r="D64" i="3"/>
  <c r="C64" i="3"/>
  <c r="B64" i="3"/>
  <c r="J63" i="3"/>
  <c r="D63" i="3"/>
  <c r="L63" i="3" s="1"/>
  <c r="C63" i="3"/>
  <c r="B63" i="3"/>
  <c r="K62" i="3"/>
  <c r="J62" i="3"/>
  <c r="Q62" i="3" s="1"/>
  <c r="D62" i="3"/>
  <c r="C62" i="3"/>
  <c r="B62" i="3"/>
  <c r="Q61" i="3"/>
  <c r="K61" i="3"/>
  <c r="J61" i="3"/>
  <c r="D61" i="3"/>
  <c r="C61" i="3"/>
  <c r="B61" i="3"/>
  <c r="J60" i="3"/>
  <c r="K60" i="3" s="1"/>
  <c r="D60" i="3"/>
  <c r="C60" i="3"/>
  <c r="B60" i="3"/>
  <c r="J59" i="3"/>
  <c r="K59" i="3" s="1"/>
  <c r="D59" i="3"/>
  <c r="L59" i="3" s="1"/>
  <c r="C59" i="3"/>
  <c r="B59" i="3"/>
  <c r="L58" i="3"/>
  <c r="K58" i="3"/>
  <c r="J58" i="3"/>
  <c r="Q58" i="3" s="1"/>
  <c r="D58" i="3"/>
  <c r="C58" i="3"/>
  <c r="B58" i="3"/>
  <c r="Q57" i="3"/>
  <c r="M57" i="3"/>
  <c r="N57" i="3" s="1"/>
  <c r="K57" i="3"/>
  <c r="J57" i="3"/>
  <c r="D57" i="3"/>
  <c r="L57" i="3" s="1"/>
  <c r="C57" i="3"/>
  <c r="B57" i="3"/>
  <c r="Q56" i="3"/>
  <c r="J56" i="3"/>
  <c r="K56" i="3" s="1"/>
  <c r="D56" i="3"/>
  <c r="C56" i="3"/>
  <c r="B56" i="3"/>
  <c r="K55" i="3"/>
  <c r="J55" i="3"/>
  <c r="D55" i="3"/>
  <c r="L55" i="3" s="1"/>
  <c r="C55" i="3"/>
  <c r="B55" i="3"/>
  <c r="K54" i="3"/>
  <c r="J54" i="3"/>
  <c r="Q54" i="3" s="1"/>
  <c r="D54" i="3"/>
  <c r="C54" i="3"/>
  <c r="B54" i="3"/>
  <c r="Q53" i="3"/>
  <c r="M53" i="3"/>
  <c r="N53" i="3" s="1"/>
  <c r="K53" i="3"/>
  <c r="J53" i="3"/>
  <c r="D53" i="3"/>
  <c r="L53" i="3" s="1"/>
  <c r="C53" i="3"/>
  <c r="B53" i="3"/>
  <c r="L52" i="3"/>
  <c r="J52" i="3"/>
  <c r="K52" i="3" s="1"/>
  <c r="D52" i="3"/>
  <c r="C52" i="3"/>
  <c r="B52" i="3"/>
  <c r="J51" i="3"/>
  <c r="K51" i="3" s="1"/>
  <c r="D51" i="3"/>
  <c r="L51" i="3" s="1"/>
  <c r="C51" i="3"/>
  <c r="B51" i="3"/>
  <c r="L50" i="3"/>
  <c r="K50" i="3"/>
  <c r="J50" i="3"/>
  <c r="Q50" i="3" s="1"/>
  <c r="D50" i="3"/>
  <c r="C50" i="3"/>
  <c r="B50" i="3"/>
  <c r="Q49" i="3"/>
  <c r="K49" i="3"/>
  <c r="J49" i="3"/>
  <c r="D49" i="3"/>
  <c r="C49" i="3"/>
  <c r="B49" i="3"/>
  <c r="Q48" i="3"/>
  <c r="N48" i="3"/>
  <c r="J48" i="3"/>
  <c r="K48" i="3" s="1"/>
  <c r="D48" i="3"/>
  <c r="C48" i="3"/>
  <c r="B48" i="3"/>
  <c r="J47" i="3"/>
  <c r="D47" i="3"/>
  <c r="L47" i="3" s="1"/>
  <c r="C47" i="3"/>
  <c r="B47" i="3"/>
  <c r="K46" i="3"/>
  <c r="J46" i="3"/>
  <c r="Q46" i="3" s="1"/>
  <c r="D46" i="3"/>
  <c r="C46" i="3"/>
  <c r="B46" i="3"/>
  <c r="Q45" i="3"/>
  <c r="K45" i="3"/>
  <c r="J45" i="3"/>
  <c r="D45" i="3"/>
  <c r="C45" i="3"/>
  <c r="B45" i="3"/>
  <c r="J44" i="3"/>
  <c r="K44" i="3" s="1"/>
  <c r="D44" i="3"/>
  <c r="C44" i="3"/>
  <c r="B44" i="3"/>
  <c r="J43" i="3"/>
  <c r="K43" i="3" s="1"/>
  <c r="D43" i="3"/>
  <c r="L43" i="3" s="1"/>
  <c r="C43" i="3"/>
  <c r="B43" i="3"/>
  <c r="L42" i="3"/>
  <c r="K42" i="3"/>
  <c r="J42" i="3"/>
  <c r="Q42" i="3" s="1"/>
  <c r="D42" i="3"/>
  <c r="C42" i="3"/>
  <c r="B42" i="3"/>
  <c r="Q41" i="3"/>
  <c r="K41" i="3"/>
  <c r="J41" i="3"/>
  <c r="D41" i="3"/>
  <c r="C41" i="3"/>
  <c r="B41" i="3"/>
  <c r="Q40" i="3"/>
  <c r="J40" i="3"/>
  <c r="K40" i="3" s="1"/>
  <c r="D40" i="3"/>
  <c r="C40" i="3"/>
  <c r="B40" i="3"/>
  <c r="J39" i="3"/>
  <c r="D39" i="3"/>
  <c r="L39" i="3" s="1"/>
  <c r="C39" i="3"/>
  <c r="B39" i="3"/>
  <c r="K38" i="3"/>
  <c r="J38" i="3"/>
  <c r="Q38" i="3" s="1"/>
  <c r="D38" i="3"/>
  <c r="C38" i="3"/>
  <c r="B38" i="3"/>
  <c r="Q37" i="3"/>
  <c r="K37" i="3"/>
  <c r="J37" i="3"/>
  <c r="D37" i="3"/>
  <c r="C37" i="3"/>
  <c r="B37" i="3"/>
  <c r="J36" i="3"/>
  <c r="K36" i="3" s="1"/>
  <c r="D36" i="3"/>
  <c r="C36" i="3"/>
  <c r="B36" i="3"/>
  <c r="J35" i="3"/>
  <c r="D35" i="3"/>
  <c r="C35" i="3"/>
  <c r="B35" i="3"/>
  <c r="L34" i="3"/>
  <c r="K34" i="3"/>
  <c r="J34" i="3"/>
  <c r="Q34" i="3" s="1"/>
  <c r="D34" i="3"/>
  <c r="C34" i="3"/>
  <c r="B34" i="3"/>
  <c r="Q33" i="3"/>
  <c r="K33" i="3"/>
  <c r="J33" i="3"/>
  <c r="D33" i="3"/>
  <c r="C33" i="3"/>
  <c r="B33" i="3"/>
  <c r="Q32" i="3"/>
  <c r="J32" i="3"/>
  <c r="K32" i="3" s="1"/>
  <c r="D32" i="3"/>
  <c r="C32" i="3"/>
  <c r="B32" i="3"/>
  <c r="J31" i="3"/>
  <c r="K31" i="3" s="1"/>
  <c r="D31" i="3"/>
  <c r="L31" i="3" s="1"/>
  <c r="C31" i="3"/>
  <c r="B31" i="3"/>
  <c r="L30" i="3"/>
  <c r="K30" i="3"/>
  <c r="J30" i="3"/>
  <c r="Q30" i="3" s="1"/>
  <c r="D30" i="3"/>
  <c r="C30" i="3"/>
  <c r="B30" i="3"/>
  <c r="Q29" i="3"/>
  <c r="M29" i="3"/>
  <c r="N29" i="3" s="1"/>
  <c r="K29" i="3"/>
  <c r="J29" i="3"/>
  <c r="D29" i="3"/>
  <c r="L29" i="3" s="1"/>
  <c r="C29" i="3"/>
  <c r="B29" i="3"/>
  <c r="L28" i="3"/>
  <c r="J28" i="3"/>
  <c r="K28" i="3" s="1"/>
  <c r="D28" i="3"/>
  <c r="C28" i="3"/>
  <c r="B28" i="3"/>
  <c r="J27" i="3"/>
  <c r="D27" i="3"/>
  <c r="L27" i="3" s="1"/>
  <c r="C27" i="3"/>
  <c r="B27" i="3"/>
  <c r="L26" i="3"/>
  <c r="K26" i="3"/>
  <c r="J26" i="3"/>
  <c r="Q26" i="3" s="1"/>
  <c r="D26" i="3"/>
  <c r="C26" i="3"/>
  <c r="B26" i="3"/>
  <c r="Q25" i="3"/>
  <c r="M25" i="3"/>
  <c r="N25" i="3" s="1"/>
  <c r="K25" i="3"/>
  <c r="J25" i="3"/>
  <c r="D25" i="3"/>
  <c r="L25" i="3" s="1"/>
  <c r="C25" i="3"/>
  <c r="B25" i="3"/>
  <c r="Q24" i="3"/>
  <c r="L24" i="3"/>
  <c r="J24" i="3"/>
  <c r="K24" i="3" s="1"/>
  <c r="D24" i="3"/>
  <c r="C24" i="3"/>
  <c r="B24" i="3"/>
  <c r="J23" i="3"/>
  <c r="K23" i="3" s="1"/>
  <c r="D23" i="3"/>
  <c r="L23" i="3" s="1"/>
  <c r="C23" i="3"/>
  <c r="B23" i="3"/>
  <c r="L22" i="3"/>
  <c r="K22" i="3"/>
  <c r="J22" i="3"/>
  <c r="Q22" i="3" s="1"/>
  <c r="D22" i="3"/>
  <c r="C22" i="3"/>
  <c r="B22" i="3"/>
  <c r="Q21" i="3"/>
  <c r="M21" i="3"/>
  <c r="N21" i="3" s="1"/>
  <c r="K21" i="3"/>
  <c r="J21" i="3"/>
  <c r="D21" i="3"/>
  <c r="L21" i="3" s="1"/>
  <c r="C21" i="3"/>
  <c r="B21" i="3"/>
  <c r="L20" i="3"/>
  <c r="J20" i="3"/>
  <c r="K20" i="3" s="1"/>
  <c r="D20" i="3"/>
  <c r="C20" i="3"/>
  <c r="B20" i="3"/>
  <c r="J19" i="3"/>
  <c r="K19" i="3" s="1"/>
  <c r="D19" i="3"/>
  <c r="L19" i="3" s="1"/>
  <c r="C19" i="3"/>
  <c r="B19" i="3"/>
  <c r="L18" i="3"/>
  <c r="K18" i="3"/>
  <c r="J18" i="3"/>
  <c r="Q18" i="3" s="1"/>
  <c r="D18" i="3"/>
  <c r="C18" i="3"/>
  <c r="B18" i="3"/>
  <c r="Q17" i="3"/>
  <c r="M17" i="3"/>
  <c r="N17" i="3" s="1"/>
  <c r="K17" i="3"/>
  <c r="J17" i="3"/>
  <c r="D17" i="3"/>
  <c r="L17" i="3" s="1"/>
  <c r="C17" i="3"/>
  <c r="B17" i="3"/>
  <c r="Q16" i="3"/>
  <c r="L16" i="3"/>
  <c r="J16" i="3"/>
  <c r="M16" i="3" s="1"/>
  <c r="N16" i="3" s="1"/>
  <c r="D16" i="3"/>
  <c r="C16" i="3"/>
  <c r="B16" i="3"/>
  <c r="Q15" i="3"/>
  <c r="L15" i="3"/>
  <c r="M15" i="3" s="1"/>
  <c r="N15" i="3" s="1"/>
  <c r="K15" i="3"/>
  <c r="J15" i="3"/>
  <c r="D15" i="3"/>
  <c r="C15" i="3"/>
  <c r="B15" i="3"/>
  <c r="J14" i="3"/>
  <c r="D14" i="3"/>
  <c r="L14" i="3" s="1"/>
  <c r="C14" i="3"/>
  <c r="B14" i="3"/>
  <c r="Q13" i="3"/>
  <c r="L13" i="3"/>
  <c r="M13" i="3" s="1"/>
  <c r="N13" i="3" s="1"/>
  <c r="K13" i="3"/>
  <c r="J13" i="3"/>
  <c r="D13" i="3"/>
  <c r="C13" i="3"/>
  <c r="B13" i="3"/>
  <c r="Q12" i="3"/>
  <c r="M12" i="3"/>
  <c r="N12" i="3" s="1"/>
  <c r="K12" i="3"/>
  <c r="J12" i="3"/>
  <c r="D12" i="3"/>
  <c r="L12" i="3" s="1"/>
  <c r="C12" i="3"/>
  <c r="B12" i="3"/>
  <c r="L11" i="3"/>
  <c r="K11" i="3"/>
  <c r="J11" i="3"/>
  <c r="D11" i="3"/>
  <c r="C11" i="3"/>
  <c r="B11" i="3"/>
  <c r="L10" i="3"/>
  <c r="J10" i="3"/>
  <c r="D10" i="3"/>
  <c r="C10" i="3"/>
  <c r="B10" i="3"/>
  <c r="Q9" i="3"/>
  <c r="J9" i="3"/>
  <c r="D9" i="3"/>
  <c r="L9" i="3" s="1"/>
  <c r="C9" i="3"/>
  <c r="B9" i="3"/>
  <c r="Q8" i="3"/>
  <c r="M8" i="3"/>
  <c r="N8" i="3" s="1"/>
  <c r="L8" i="3"/>
  <c r="J8" i="3"/>
  <c r="K8" i="3" s="1"/>
  <c r="D8" i="3"/>
  <c r="C8" i="3"/>
  <c r="B8" i="3"/>
  <c r="J7" i="3"/>
  <c r="D7" i="3"/>
  <c r="L7" i="3" s="1"/>
  <c r="C7" i="3"/>
  <c r="B7" i="3"/>
  <c r="L6" i="3"/>
  <c r="M6" i="3" s="1"/>
  <c r="N6" i="3" s="1"/>
  <c r="J6" i="3"/>
  <c r="Q6" i="3" s="1"/>
  <c r="D6" i="3"/>
  <c r="C6" i="3"/>
  <c r="B6" i="3"/>
  <c r="Q5" i="3"/>
  <c r="J5" i="3"/>
  <c r="D5" i="3"/>
  <c r="L5" i="3" s="1"/>
  <c r="C5" i="3"/>
  <c r="B5" i="3"/>
  <c r="Q4" i="3"/>
  <c r="L4" i="3"/>
  <c r="M4" i="3" s="1"/>
  <c r="N4" i="3" s="1"/>
  <c r="J4" i="3"/>
  <c r="K4" i="3" s="1"/>
  <c r="D4" i="3"/>
  <c r="C4" i="3"/>
  <c r="B4" i="3"/>
  <c r="J3" i="3"/>
  <c r="D3" i="3"/>
  <c r="C3" i="3"/>
  <c r="B3" i="3"/>
  <c r="L2" i="3"/>
  <c r="M2" i="3" s="1"/>
  <c r="N2" i="3" s="1"/>
  <c r="J2" i="3"/>
  <c r="Q2" i="3" s="1"/>
  <c r="D2" i="3"/>
  <c r="C2" i="3"/>
  <c r="B2" i="3"/>
  <c r="J16" i="2"/>
  <c r="I16" i="2"/>
  <c r="C16" i="5" s="1"/>
  <c r="J15" i="2"/>
  <c r="I15" i="2"/>
  <c r="C15" i="5" s="1"/>
  <c r="I14" i="2"/>
  <c r="C14" i="5" s="1"/>
  <c r="J13" i="2"/>
  <c r="I13" i="2"/>
  <c r="C13" i="5" s="1"/>
  <c r="I12" i="2"/>
  <c r="C12" i="5" s="1"/>
  <c r="I11" i="2"/>
  <c r="L100" i="3" s="1"/>
  <c r="J10" i="2"/>
  <c r="I10" i="2"/>
  <c r="C10" i="5" s="1"/>
  <c r="J9" i="2"/>
  <c r="I9" i="2"/>
  <c r="C9" i="5" s="1"/>
  <c r="I8" i="2"/>
  <c r="L64" i="3" s="1"/>
  <c r="M64" i="3" s="1"/>
  <c r="J7" i="2"/>
  <c r="I7" i="2"/>
  <c r="L56" i="3" s="1"/>
  <c r="M56" i="3" s="1"/>
  <c r="N56" i="3" s="1"/>
  <c r="I6" i="2"/>
  <c r="L48" i="3" s="1"/>
  <c r="M48" i="3" s="1"/>
  <c r="I5" i="2"/>
  <c r="J4" i="2"/>
  <c r="I4" i="2"/>
  <c r="C4" i="5" s="1"/>
  <c r="J3" i="2"/>
  <c r="I3" i="2"/>
  <c r="C3" i="5" s="1"/>
  <c r="I2" i="2"/>
  <c r="J2" i="2" s="1"/>
  <c r="M63" i="3" l="1"/>
  <c r="N63" i="3" s="1"/>
  <c r="Q63" i="3"/>
  <c r="M39" i="3"/>
  <c r="N39" i="3" s="1"/>
  <c r="Q39" i="3"/>
  <c r="L40" i="3"/>
  <c r="M40" i="3" s="1"/>
  <c r="N40" i="3" s="1"/>
  <c r="L32" i="3"/>
  <c r="M32" i="3" s="1"/>
  <c r="N32" i="3" s="1"/>
  <c r="L38" i="3"/>
  <c r="C5" i="5"/>
  <c r="L36" i="3"/>
  <c r="M36" i="3" s="1"/>
  <c r="N36" i="3" s="1"/>
  <c r="K39" i="3"/>
  <c r="L98" i="3"/>
  <c r="M98" i="3" s="1"/>
  <c r="N98" i="3" s="1"/>
  <c r="J5" i="2"/>
  <c r="L94" i="3"/>
  <c r="M94" i="3" s="1"/>
  <c r="N94" i="3" s="1"/>
  <c r="K144" i="3"/>
  <c r="Q144" i="3"/>
  <c r="M144" i="3"/>
  <c r="N144" i="3" s="1"/>
  <c r="Q11" i="3"/>
  <c r="M11" i="3"/>
  <c r="N11" i="3" s="1"/>
  <c r="L35" i="3"/>
  <c r="M55" i="3"/>
  <c r="N55" i="3" s="1"/>
  <c r="Q55" i="3"/>
  <c r="K136" i="3"/>
  <c r="Q136" i="3"/>
  <c r="M136" i="3"/>
  <c r="N136" i="3" s="1"/>
  <c r="E10" i="5"/>
  <c r="K63" i="3"/>
  <c r="L3" i="3"/>
  <c r="M3" i="3" s="1"/>
  <c r="N3" i="3" s="1"/>
  <c r="K100" i="3"/>
  <c r="Q100" i="3"/>
  <c r="Q3" i="3"/>
  <c r="M15" i="7" s="1"/>
  <c r="M9" i="3"/>
  <c r="N9" i="3" s="1"/>
  <c r="K80" i="3"/>
  <c r="Q80" i="3"/>
  <c r="M80" i="3"/>
  <c r="N80" i="3" s="1"/>
  <c r="M5" i="3"/>
  <c r="N5" i="3" s="1"/>
  <c r="M47" i="3"/>
  <c r="N47" i="3" s="1"/>
  <c r="Q47" i="3"/>
  <c r="L97" i="3"/>
  <c r="M97" i="3" s="1"/>
  <c r="N97" i="3" s="1"/>
  <c r="C11" i="5"/>
  <c r="L92" i="3"/>
  <c r="M92" i="3" s="1"/>
  <c r="N92" i="3" s="1"/>
  <c r="L96" i="3"/>
  <c r="M96" i="3" s="1"/>
  <c r="N96" i="3" s="1"/>
  <c r="L99" i="3"/>
  <c r="Q7" i="3"/>
  <c r="K14" i="7" s="1"/>
  <c r="M7" i="3"/>
  <c r="N7" i="3" s="1"/>
  <c r="K3" i="3"/>
  <c r="M23" i="3"/>
  <c r="N23" i="3" s="1"/>
  <c r="Q23" i="3"/>
  <c r="K47" i="3"/>
  <c r="D6" i="5" s="1"/>
  <c r="L95" i="3"/>
  <c r="M83" i="3"/>
  <c r="N83" i="3" s="1"/>
  <c r="Q83" i="3"/>
  <c r="J11" i="2"/>
  <c r="M31" i="3"/>
  <c r="N31" i="3" s="1"/>
  <c r="Q31" i="3"/>
  <c r="M111" i="3"/>
  <c r="N111" i="3" s="1"/>
  <c r="K111" i="3"/>
  <c r="Q111" i="3"/>
  <c r="K128" i="3"/>
  <c r="Q128" i="3"/>
  <c r="M128" i="3"/>
  <c r="N128" i="3" s="1"/>
  <c r="K7" i="3"/>
  <c r="M91" i="3"/>
  <c r="N91" i="3" s="1"/>
  <c r="Q91" i="3"/>
  <c r="K91" i="3"/>
  <c r="F10" i="5" s="1"/>
  <c r="F7" i="5"/>
  <c r="F16" i="5"/>
  <c r="D10" i="5"/>
  <c r="G16" i="5"/>
  <c r="E16" i="5"/>
  <c r="D16" i="5"/>
  <c r="F14" i="5"/>
  <c r="G7" i="5"/>
  <c r="E7" i="5"/>
  <c r="M71" i="3"/>
  <c r="N71" i="3" s="1"/>
  <c r="M119" i="3"/>
  <c r="N119" i="3" s="1"/>
  <c r="D7" i="5"/>
  <c r="J12" i="2"/>
  <c r="M10" i="3"/>
  <c r="N10" i="3" s="1"/>
  <c r="L44" i="3"/>
  <c r="L60" i="3"/>
  <c r="L65" i="3"/>
  <c r="M65" i="3" s="1"/>
  <c r="N65" i="3" s="1"/>
  <c r="K71" i="3"/>
  <c r="L88" i="3"/>
  <c r="M99" i="3"/>
  <c r="N99" i="3" s="1"/>
  <c r="L113" i="3"/>
  <c r="M113" i="3" s="1"/>
  <c r="N113" i="3" s="1"/>
  <c r="K119" i="3"/>
  <c r="G13" i="5" s="1"/>
  <c r="H13" i="5" s="1"/>
  <c r="E2" i="5"/>
  <c r="M14" i="3"/>
  <c r="N14" i="3" s="1"/>
  <c r="L108" i="3"/>
  <c r="M108" i="3" s="1"/>
  <c r="N108" i="3" s="1"/>
  <c r="J6" i="2"/>
  <c r="K14" i="3"/>
  <c r="D3" i="5" s="1"/>
  <c r="L33" i="3"/>
  <c r="M33" i="3" s="1"/>
  <c r="N33" i="3" s="1"/>
  <c r="L41" i="3"/>
  <c r="M41" i="3" s="1"/>
  <c r="N41" i="3" s="1"/>
  <c r="L49" i="3"/>
  <c r="M49" i="3" s="1"/>
  <c r="N49" i="3" s="1"/>
  <c r="K2" i="3"/>
  <c r="G2" i="5" s="1"/>
  <c r="K6" i="3"/>
  <c r="K10" i="3"/>
  <c r="M20" i="3"/>
  <c r="N20" i="3" s="1"/>
  <c r="M28" i="3"/>
  <c r="N28" i="3" s="1"/>
  <c r="M44" i="3"/>
  <c r="N44" i="3" s="1"/>
  <c r="M52" i="3"/>
  <c r="N52" i="3" s="1"/>
  <c r="M60" i="3"/>
  <c r="N60" i="3" s="1"/>
  <c r="L68" i="3"/>
  <c r="M68" i="3" s="1"/>
  <c r="N68" i="3" s="1"/>
  <c r="M79" i="3"/>
  <c r="N79" i="3" s="1"/>
  <c r="M88" i="3"/>
  <c r="N88" i="3" s="1"/>
  <c r="L93" i="3"/>
  <c r="M93" i="3" s="1"/>
  <c r="N93" i="3" s="1"/>
  <c r="K99" i="3"/>
  <c r="D11" i="5" s="1"/>
  <c r="L116" i="3"/>
  <c r="M116" i="3" s="1"/>
  <c r="N116" i="3" s="1"/>
  <c r="M135" i="3"/>
  <c r="N135" i="3" s="1"/>
  <c r="M143" i="3"/>
  <c r="N143" i="3" s="1"/>
  <c r="M151" i="3"/>
  <c r="N151" i="3" s="1"/>
  <c r="C2" i="5"/>
  <c r="E8" i="5"/>
  <c r="M27" i="3"/>
  <c r="N27" i="3" s="1"/>
  <c r="M35" i="3"/>
  <c r="N35" i="3" s="1"/>
  <c r="L101" i="3"/>
  <c r="M101" i="3" s="1"/>
  <c r="N101" i="3" s="1"/>
  <c r="F13" i="5"/>
  <c r="J14" i="2"/>
  <c r="K5" i="3"/>
  <c r="K9" i="3"/>
  <c r="Q10" i="3"/>
  <c r="K27" i="3"/>
  <c r="E4" i="5" s="1"/>
  <c r="L46" i="3"/>
  <c r="M46" i="3" s="1"/>
  <c r="N46" i="3" s="1"/>
  <c r="L54" i="3"/>
  <c r="L62" i="3"/>
  <c r="M67" i="3"/>
  <c r="N67" i="3" s="1"/>
  <c r="M76" i="3"/>
  <c r="N76" i="3" s="1"/>
  <c r="L81" i="3"/>
  <c r="M81" i="3" s="1"/>
  <c r="N81" i="3" s="1"/>
  <c r="L90" i="3"/>
  <c r="M90" i="3" s="1"/>
  <c r="N90" i="3" s="1"/>
  <c r="Q99" i="3"/>
  <c r="L104" i="3"/>
  <c r="L107" i="3"/>
  <c r="M115" i="3"/>
  <c r="N115" i="3" s="1"/>
  <c r="Q116" i="3"/>
  <c r="M124" i="3"/>
  <c r="N124" i="3" s="1"/>
  <c r="L129" i="3"/>
  <c r="M129" i="3" s="1"/>
  <c r="N129" i="3" s="1"/>
  <c r="L132" i="3"/>
  <c r="L137" i="3"/>
  <c r="M137" i="3" s="1"/>
  <c r="N137" i="3" s="1"/>
  <c r="L140" i="3"/>
  <c r="L145" i="3"/>
  <c r="M145" i="3" s="1"/>
  <c r="N145" i="3" s="1"/>
  <c r="L148" i="3"/>
  <c r="G6" i="5"/>
  <c r="H6" i="5" s="1"/>
  <c r="Q36" i="3"/>
  <c r="Q60" i="3"/>
  <c r="M87" i="3"/>
  <c r="N87" i="3" s="1"/>
  <c r="Q88" i="3"/>
  <c r="L110" i="3"/>
  <c r="M110" i="3" s="1"/>
  <c r="N110" i="3" s="1"/>
  <c r="Q119" i="3"/>
  <c r="L127" i="3"/>
  <c r="M127" i="3" s="1"/>
  <c r="N127" i="3" s="1"/>
  <c r="F8" i="5"/>
  <c r="J8" i="2"/>
  <c r="K35" i="3"/>
  <c r="G5" i="5" s="1"/>
  <c r="K16" i="3"/>
  <c r="K67" i="3"/>
  <c r="D8" i="5" s="1"/>
  <c r="Q79" i="3"/>
  <c r="L84" i="3"/>
  <c r="M95" i="3"/>
  <c r="N95" i="3" s="1"/>
  <c r="Q96" i="3"/>
  <c r="M104" i="3"/>
  <c r="N104" i="3" s="1"/>
  <c r="L109" i="3"/>
  <c r="M109" i="3" s="1"/>
  <c r="N109" i="3" s="1"/>
  <c r="K115" i="3"/>
  <c r="Q127" i="3"/>
  <c r="M132" i="3"/>
  <c r="N132" i="3" s="1"/>
  <c r="Q135" i="3"/>
  <c r="M140" i="3"/>
  <c r="N140" i="3" s="1"/>
  <c r="Q143" i="3"/>
  <c r="M148" i="3"/>
  <c r="N148" i="3" s="1"/>
  <c r="E3" i="5"/>
  <c r="C6" i="5"/>
  <c r="Q28" i="3"/>
  <c r="Q44" i="3"/>
  <c r="L124" i="3"/>
  <c r="L61" i="3"/>
  <c r="M61" i="3" s="1"/>
  <c r="N61" i="3" s="1"/>
  <c r="M75" i="3"/>
  <c r="N75" i="3" s="1"/>
  <c r="Q76" i="3"/>
  <c r="M84" i="3"/>
  <c r="N84" i="3" s="1"/>
  <c r="L89" i="3"/>
  <c r="M89" i="3" s="1"/>
  <c r="N89" i="3" s="1"/>
  <c r="L112" i="3"/>
  <c r="M112" i="3" s="1"/>
  <c r="N112" i="3" s="1"/>
  <c r="M123" i="3"/>
  <c r="N123" i="3" s="1"/>
  <c r="Q124" i="3"/>
  <c r="E6" i="5"/>
  <c r="F9" i="5"/>
  <c r="M107" i="3"/>
  <c r="N107" i="3" s="1"/>
  <c r="Q108" i="3"/>
  <c r="Q14" i="3"/>
  <c r="J15" i="7" s="1"/>
  <c r="M19" i="3"/>
  <c r="N19" i="3" s="1"/>
  <c r="Q20" i="3"/>
  <c r="M43" i="3"/>
  <c r="N43" i="3" s="1"/>
  <c r="M51" i="3"/>
  <c r="N51" i="3" s="1"/>
  <c r="Q52" i="3"/>
  <c r="M59" i="3"/>
  <c r="N59" i="3" s="1"/>
  <c r="Q71" i="3"/>
  <c r="K107" i="3"/>
  <c r="G12" i="5" s="1"/>
  <c r="L37" i="3"/>
  <c r="M37" i="3" s="1"/>
  <c r="N37" i="3" s="1"/>
  <c r="L45" i="3"/>
  <c r="M45" i="3" s="1"/>
  <c r="N45" i="3" s="1"/>
  <c r="Q19" i="3"/>
  <c r="M24" i="3"/>
  <c r="N24" i="3" s="1"/>
  <c r="Q27" i="3"/>
  <c r="L15" i="7" s="1"/>
  <c r="Q35" i="3"/>
  <c r="Q43" i="3"/>
  <c r="Q51" i="3"/>
  <c r="Q59" i="3"/>
  <c r="L69" i="3"/>
  <c r="M69" i="3" s="1"/>
  <c r="N69" i="3" s="1"/>
  <c r="K75" i="3"/>
  <c r="G9" i="5" s="1"/>
  <c r="H9" i="5" s="1"/>
  <c r="Q87" i="3"/>
  <c r="M103" i="3"/>
  <c r="N103" i="3" s="1"/>
  <c r="Q104" i="3"/>
  <c r="L117" i="3"/>
  <c r="M117" i="3" s="1"/>
  <c r="N117" i="3" s="1"/>
  <c r="K123" i="3"/>
  <c r="D14" i="5" s="1"/>
  <c r="M131" i="3"/>
  <c r="N131" i="3" s="1"/>
  <c r="Q132" i="3"/>
  <c r="M139" i="3"/>
  <c r="N139" i="3" s="1"/>
  <c r="Q140" i="3"/>
  <c r="M147" i="3"/>
  <c r="N147" i="3" s="1"/>
  <c r="Q148" i="3"/>
  <c r="F6" i="5"/>
  <c r="E15" i="5"/>
  <c r="D15" i="5"/>
  <c r="G15" i="5"/>
  <c r="F15" i="5"/>
  <c r="G8" i="5"/>
  <c r="H8" i="5" s="1"/>
  <c r="M18" i="3"/>
  <c r="N18" i="3" s="1"/>
  <c r="M22" i="3"/>
  <c r="N22" i="3" s="1"/>
  <c r="M26" i="3"/>
  <c r="N26" i="3" s="1"/>
  <c r="M30" i="3"/>
  <c r="N30" i="3" s="1"/>
  <c r="M34" i="3"/>
  <c r="N34" i="3" s="1"/>
  <c r="M38" i="3"/>
  <c r="N38" i="3" s="1"/>
  <c r="M42" i="3"/>
  <c r="N42" i="3" s="1"/>
  <c r="M50" i="3"/>
  <c r="N50" i="3" s="1"/>
  <c r="M54" i="3"/>
  <c r="N54" i="3" s="1"/>
  <c r="M58" i="3"/>
  <c r="N58" i="3" s="1"/>
  <c r="M62" i="3"/>
  <c r="N62" i="3" s="1"/>
  <c r="D4" i="5"/>
  <c r="E15" i="4" l="1"/>
  <c r="E14" i="4"/>
  <c r="E16" i="4"/>
  <c r="E17" i="4"/>
  <c r="F4" i="5"/>
  <c r="J11" i="7"/>
  <c r="C15" i="7"/>
  <c r="J8" i="7"/>
  <c r="C12" i="7"/>
  <c r="G15" i="7"/>
  <c r="C9" i="7"/>
  <c r="G12" i="7"/>
  <c r="K15" i="7"/>
  <c r="E7" i="7"/>
  <c r="H15" i="5"/>
  <c r="E5" i="5"/>
  <c r="H16" i="5"/>
  <c r="G4" i="5"/>
  <c r="H4" i="5" s="1"/>
  <c r="K12" i="7"/>
  <c r="G6" i="7"/>
  <c r="K9" i="7"/>
  <c r="D13" i="7"/>
  <c r="K6" i="7"/>
  <c r="D10" i="7"/>
  <c r="H13" i="7"/>
  <c r="C6" i="7"/>
  <c r="F8" i="7"/>
  <c r="L12" i="7"/>
  <c r="E13" i="7"/>
  <c r="E10" i="7"/>
  <c r="I13" i="7"/>
  <c r="I10" i="7"/>
  <c r="M13" i="7"/>
  <c r="I7" i="7"/>
  <c r="M10" i="7"/>
  <c r="F14" i="7"/>
  <c r="M7" i="7"/>
  <c r="F11" i="7"/>
  <c r="J14" i="7"/>
  <c r="D6" i="7"/>
  <c r="G14" i="5"/>
  <c r="H14" i="5" s="1"/>
  <c r="D13" i="5"/>
  <c r="F11" i="5"/>
  <c r="D5" i="5"/>
  <c r="G10" i="5"/>
  <c r="H10" i="5" s="1"/>
  <c r="L13" i="7"/>
  <c r="H7" i="7"/>
  <c r="L10" i="7"/>
  <c r="E14" i="7"/>
  <c r="L7" i="7"/>
  <c r="E11" i="7"/>
  <c r="I14" i="7"/>
  <c r="D7" i="7"/>
  <c r="G9" i="7"/>
  <c r="D12" i="5"/>
  <c r="I8" i="7"/>
  <c r="M8" i="7"/>
  <c r="E8" i="7"/>
  <c r="E13" i="5"/>
  <c r="E12" i="5"/>
  <c r="F6" i="7"/>
  <c r="J9" i="7"/>
  <c r="C13" i="7"/>
  <c r="J6" i="7"/>
  <c r="C10" i="7"/>
  <c r="G13" i="7"/>
  <c r="C7" i="7"/>
  <c r="F9" i="7"/>
  <c r="I11" i="7"/>
  <c r="B15" i="4"/>
  <c r="B14" i="4"/>
  <c r="B17" i="4"/>
  <c r="B16" i="4"/>
  <c r="H6" i="7"/>
  <c r="M11" i="7"/>
  <c r="F12" i="7"/>
  <c r="H10" i="7"/>
  <c r="G3" i="5"/>
  <c r="G11" i="5"/>
  <c r="D14" i="7"/>
  <c r="E14" i="5"/>
  <c r="H8" i="7"/>
  <c r="L11" i="7"/>
  <c r="E15" i="7"/>
  <c r="L8" i="7"/>
  <c r="E12" i="7"/>
  <c r="I15" i="7"/>
  <c r="E9" i="7"/>
  <c r="H11" i="7"/>
  <c r="K13" i="7"/>
  <c r="G7" i="7"/>
  <c r="K10" i="7"/>
  <c r="K7" i="7"/>
  <c r="D11" i="7"/>
  <c r="H14" i="7"/>
  <c r="D8" i="7"/>
  <c r="G10" i="7"/>
  <c r="J12" i="7"/>
  <c r="D9" i="5"/>
  <c r="F5" i="5"/>
  <c r="H5" i="5" s="1"/>
  <c r="F12" i="5"/>
  <c r="H12" i="5" s="1"/>
  <c r="E6" i="7"/>
  <c r="I9" i="7"/>
  <c r="M12" i="7"/>
  <c r="I6" i="7"/>
  <c r="M9" i="7"/>
  <c r="F13" i="7"/>
  <c r="M6" i="7"/>
  <c r="F10" i="7"/>
  <c r="I12" i="7"/>
  <c r="L14" i="7"/>
  <c r="H9" i="7"/>
  <c r="L9" i="7"/>
  <c r="L6" i="7"/>
  <c r="F2" i="5"/>
  <c r="H2" i="5" s="1"/>
  <c r="M14" i="7"/>
  <c r="F15" i="7"/>
  <c r="E11" i="5"/>
  <c r="E9" i="5"/>
  <c r="F3" i="5"/>
  <c r="F7" i="7"/>
  <c r="J10" i="7"/>
  <c r="C14" i="7"/>
  <c r="J7" i="7"/>
  <c r="C11" i="7"/>
  <c r="G14" i="7"/>
  <c r="C8" i="7"/>
  <c r="G11" i="7"/>
  <c r="J13" i="7"/>
  <c r="D2" i="5"/>
  <c r="H7" i="5"/>
  <c r="G8" i="7"/>
  <c r="K11" i="7"/>
  <c r="D15" i="7"/>
  <c r="K8" i="7"/>
  <c r="D12" i="7"/>
  <c r="H15" i="7"/>
  <c r="D9" i="7"/>
  <c r="H12" i="7"/>
  <c r="H3" i="5" l="1"/>
  <c r="H11" i="5"/>
</calcChain>
</file>

<file path=xl/sharedStrings.xml><?xml version="1.0" encoding="utf-8"?>
<sst xmlns="http://schemas.openxmlformats.org/spreadsheetml/2006/main" count="929" uniqueCount="573">
  <si>
    <t>PLANTILLA DE EVALUACIÓN DE SEGURIDAD INFORMÁTICA</t>
  </si>
  <si>
    <t>Modelos MAGERIT y OCTAVE</t>
  </si>
  <si>
    <t>Universidad Mariano Gálvez de Guatemala — Seguridad de Sistemas Informáticos</t>
  </si>
  <si>
    <t>Pestaña</t>
  </si>
  <si>
    <t>Contenido y uso</t>
  </si>
  <si>
    <t>Inventario_Activos</t>
  </si>
  <si>
    <t>Registrar los activos de Producción, Pruebas y Desarrollo (hardware, software, datos, RRHH). Completar solo las celdas en amarillo/azul; la Criticidad y Clasificación se calculan solas.</t>
  </si>
  <si>
    <t>Escalas</t>
  </si>
  <si>
    <t>Tablas de referencia para las fórmulas (probabilidad, impacto, niveles de riesgo). No modificar.</t>
  </si>
  <si>
    <t>Riesgos</t>
  </si>
  <si>
    <t>Registrar mínimo 10 riesgos por activo: Capa de Seguridad por Profundidad, Brecha, Amenaza, Probabilidad e Impacto. El Riesgo MAGERIT, Nivel MAGERIT, Riesgo OCTAVE y Nivel OCTAVE se calculan automáticamente.</t>
  </si>
  <si>
    <t>Matriz_Calor</t>
  </si>
  <si>
    <t>Matriz de calor generada automáticamente (Probabilidad x Impacto) a partir de la hoja Riesgos.</t>
  </si>
  <si>
    <t>Tratamiento</t>
  </si>
  <si>
    <t>Resumen de tratamiento y priorización por activo, calculado automáticamente desde la hoja Riesgos.</t>
  </si>
  <si>
    <t>Leyenda de colores</t>
  </si>
  <si>
    <t>Celda amarilla / texto azul</t>
  </si>
  <si>
    <t>Campo que el equipo debe llenar</t>
  </si>
  <si>
    <t>Celda blanca / texto negro</t>
  </si>
  <si>
    <t>Campo calculado automáticamente por fórmula. No escribir sobre estas celdas.</t>
  </si>
  <si>
    <t>No</t>
  </si>
  <si>
    <t>Ambiente</t>
  </si>
  <si>
    <t>Tipo de Activo</t>
  </si>
  <si>
    <t>Nombre del Activo</t>
  </si>
  <si>
    <t>Responsable</t>
  </si>
  <si>
    <t>Valor
(1-5)</t>
  </si>
  <si>
    <t>Impacto en
el Negocio (1-5)</t>
  </si>
  <si>
    <t>Confidencialidad
(1-5)</t>
  </si>
  <si>
    <t>Criticidad
(calculado)</t>
  </si>
  <si>
    <t>Clasificación
(calculado)</t>
  </si>
  <si>
    <t>Producción</t>
  </si>
  <si>
    <t>Hardware</t>
  </si>
  <si>
    <t>Servidor de Base de Datos</t>
  </si>
  <si>
    <t>Danny</t>
  </si>
  <si>
    <t>Software</t>
  </si>
  <si>
    <t>Sistema ERP / Facturación</t>
  </si>
  <si>
    <t>Javier</t>
  </si>
  <si>
    <t>Datos</t>
  </si>
  <si>
    <t>Datos de clientes</t>
  </si>
  <si>
    <t>Katherin</t>
  </si>
  <si>
    <t>Recursos Humanos</t>
  </si>
  <si>
    <t>Administrador de sistemas</t>
  </si>
  <si>
    <t>Josue</t>
  </si>
  <si>
    <t>Firewall / Router de borde</t>
  </si>
  <si>
    <t>Diancarlo</t>
  </si>
  <si>
    <t>Pruebas</t>
  </si>
  <si>
    <t>Servidor de pruebas</t>
  </si>
  <si>
    <t>Ambiente de staging web</t>
  </si>
  <si>
    <t>Datos de prueba anonimizados</t>
  </si>
  <si>
    <t>QA Tester</t>
  </si>
  <si>
    <t>Herramienta de automatización de pruebas</t>
  </si>
  <si>
    <t>Desarrollo</t>
  </si>
  <si>
    <t>Estación de trabajo del desarrollador</t>
  </si>
  <si>
    <t>Repositorio de código (Git)</t>
  </si>
  <si>
    <t>Código fuente y credenciales</t>
  </si>
  <si>
    <t>Desarrollador</t>
  </si>
  <si>
    <t>Entorno IDE / CI-CD</t>
  </si>
  <si>
    <t>Nota: Valor, Impacto en el Negocio y Confidencialidad se califican de 1 (muy bajo) a 5 (muy alto). La Criticidad es el promedio redondeado de esas 3 columnas.</t>
  </si>
  <si>
    <t>Activo</t>
  </si>
  <si>
    <t>Capa de Seguridad
por Profundidad</t>
  </si>
  <si>
    <t>Brecha</t>
  </si>
  <si>
    <t>Amenaza</t>
  </si>
  <si>
    <t>Probabilidad
(1-5)</t>
  </si>
  <si>
    <t>Impacto
(1-5)</t>
  </si>
  <si>
    <t>Riesgo
MAGERIT</t>
  </si>
  <si>
    <t>Nivel
MAGERIT</t>
  </si>
  <si>
    <t>Criticidad
del Activo</t>
  </si>
  <si>
    <t>Riesgo
OCTAVE</t>
  </si>
  <si>
    <t>Nivel
OCTAVE</t>
  </si>
  <si>
    <t>Solución / Control propuesto</t>
  </si>
  <si>
    <t>Clave_Rank (auxiliar, no borrar)</t>
  </si>
  <si>
    <t>Seguridad Física</t>
  </si>
  <si>
    <t>Acceso no autorizado al cuarto de servidores</t>
  </si>
  <si>
    <t>Robo o sabotaje de hardware</t>
  </si>
  <si>
    <t>Reducir/Mitigar</t>
  </si>
  <si>
    <t>Control de acceso biométrico y CCTV en el cuarto de servidores, con bitácora de ingreso.</t>
  </si>
  <si>
    <t>Seguridad de Red</t>
  </si>
  <si>
    <t>Puertos de administración expuestos a la red interna</t>
  </si>
  <si>
    <t>Acceso remoto no autorizado</t>
  </si>
  <si>
    <t>Segmentar la red de administración (VLAN dedicada) y exigir VPN + MFA para acceso remoto.</t>
  </si>
  <si>
    <t>Seguridad de Host</t>
  </si>
  <si>
    <t>Sistema operativo del servidor desactualizado</t>
  </si>
  <si>
    <t>Explotación de vulnerabilidades conocidas</t>
  </si>
  <si>
    <t>Gestión de parches automatizada y hardening del sistema operativo del servidor.</t>
  </si>
  <si>
    <t>Seguridad de Aplicación</t>
  </si>
  <si>
    <t>Motor de base de datos con configuración por defecto</t>
  </si>
  <si>
    <t>Inyección SQL / escalamiento de privilegios</t>
  </si>
  <si>
    <t>Validación de entradas, consultas parametrizadas y bastionado del motor de base de datos.</t>
  </si>
  <si>
    <t>Seguridad de Datos</t>
  </si>
  <si>
    <t>Ausencia de cifrado en datos en reposo</t>
  </si>
  <si>
    <t>Fuga de información confidencial</t>
  </si>
  <si>
    <t>Cifrar los datos en reposo (TDE) y en tránsito (TLS).</t>
  </si>
  <si>
    <t>Gestión de Identidad y Acceso</t>
  </si>
  <si>
    <t>Cuentas de administrador compartidas</t>
  </si>
  <si>
    <t>Uso indebido de credenciales privilegiadas</t>
  </si>
  <si>
    <t>Cuentas nominales, mínimo privilegio y bóveda de contraseñas (PAM).</t>
  </si>
  <si>
    <t>Monitoreo y Respuesta</t>
  </si>
  <si>
    <t>Falta de registro (logging) centralizado</t>
  </si>
  <si>
    <t>Detección tardía de incidentes</t>
  </si>
  <si>
    <t>Centralizar logs en un SIEM con alertas en tiempo real.</t>
  </si>
  <si>
    <t>Continuidad y Respaldo</t>
  </si>
  <si>
    <t>Respaldos no probados periódicamente</t>
  </si>
  <si>
    <t>Pérdida de datos ante fallo o ataque</t>
  </si>
  <si>
    <t>Plan de respaldo 3-2-1 con pruebas periódicas de restauración.</t>
  </si>
  <si>
    <t>Seguridad Perimetral</t>
  </si>
  <si>
    <t>Reglas de firewall obsoletas o permisivas</t>
  </si>
  <si>
    <t>Movimiento lateral de un atacante</t>
  </si>
  <si>
    <t>Revisar y depurar reglas de firewall; segmentación/microsegmentación de red.</t>
  </si>
  <si>
    <t>Concientización y Procesos</t>
  </si>
  <si>
    <t>Falta de procedimiento de gestión de parches</t>
  </si>
  <si>
    <t>Explotación de vulnerabilidades no corregidas</t>
  </si>
  <si>
    <t>Proceso formal de gestión de parches con SLA de aplicación.</t>
  </si>
  <si>
    <t>Servidores del ERP alojados sin control de acceso físico restringido</t>
  </si>
  <si>
    <t>Acceso físico no autorizado al hardware que aloja el ERP</t>
  </si>
  <si>
    <t>Alojar el servidor en centro de datos con control de acceso y video vigilancia.</t>
  </si>
  <si>
    <t>Comunicación del ERP sin cifrado entre módulos</t>
  </si>
  <si>
    <t>Intercepción de tráfico (sniffing)</t>
  </si>
  <si>
    <t>Cifrar comunicaciones internas con TLS y segmentar la red del ERP.</t>
  </si>
  <si>
    <t>Servidor de aplicaciones del ERP sin actualizaciones de seguridad</t>
  </si>
  <si>
    <t>Explotación de vulnerabilidades del sistema operativo</t>
  </si>
  <si>
    <t>Ciclo de actualización mensual y bastionado del servidor.</t>
  </si>
  <si>
    <t>Módulo de facturación sin validación de entradas</t>
  </si>
  <si>
    <t>Inyección de código / manipulación de transacciones</t>
  </si>
  <si>
    <t>Pruebas de seguridad de aplicaciones (SAST/DAST) antes de cada release.</t>
  </si>
  <si>
    <t>Base de datos del ERP sin cifrado de campos sensibles (montos, NIT)</t>
  </si>
  <si>
    <t>Exposición de información financiera</t>
  </si>
  <si>
    <t>Cifrar campos sensibles y enmascarar datos en reportes.</t>
  </si>
  <si>
    <t>Roles del ERP mal configurados (usuarios con permisos excesivos)</t>
  </si>
  <si>
    <t>Fraude interno o modificación indebida de facturas</t>
  </si>
  <si>
    <t>Revisión periódica de roles y segregación de funciones (SoD).</t>
  </si>
  <si>
    <t>Ausencia de alertas ante transacciones inusuales</t>
  </si>
  <si>
    <t>Fraude no detectado a tiempo</t>
  </si>
  <si>
    <t>Reglas de auditoría y alertas de transacciones atípicas.</t>
  </si>
  <si>
    <t>Backup del ERP solo en sitio, sin copia externa</t>
  </si>
  <si>
    <t>Pérdida de información contable ante desastre</t>
  </si>
  <si>
    <t>Respaldo en la nube con retención definida y prueba de restauración.</t>
  </si>
  <si>
    <t>Puerto de administración del ERP expuesto a internet</t>
  </si>
  <si>
    <t>Acceso externo no autorizado a la consola de administración</t>
  </si>
  <si>
    <t>Restringir el acceso administrativo a IPs internas mediante firewall/VPN.</t>
  </si>
  <si>
    <t>Falta de capacitación a usuarios sobre manejo del ERP</t>
  </si>
  <si>
    <t>Errores de captura y fraude por desconocimiento</t>
  </si>
  <si>
    <t>Capacitación periódica y manual de procedimientos de uso.</t>
  </si>
  <si>
    <t>Medios de respaldo con datos de clientes almacenados sin resguardo físico</t>
  </si>
  <si>
    <t>Robo o pérdida de medios de respaldo</t>
  </si>
  <si>
    <t>Resguardo en caja fuerte o custodia externa certificada.</t>
  </si>
  <si>
    <t>Transferencia de datos de clientes entre sistemas sin cifrado</t>
  </si>
  <si>
    <t>Intercepción de información personal en tránsito</t>
  </si>
  <si>
    <t>Cifrado TLS obligatorio en todas las transferencias de datos.</t>
  </si>
  <si>
    <t>Base de datos de clientes en servidor sin bastionado específico</t>
  </si>
  <si>
    <t>Compromiso del servidor que aloja los datos</t>
  </si>
  <si>
    <t>Hardening del servidor de base de datos y monitoreo de integridad.</t>
  </si>
  <si>
    <t>Aplicaciones con acceso directo a la base de datos sin capa de control</t>
  </si>
  <si>
    <t>Exfiltración de datos mediante consultas no controladas</t>
  </si>
  <si>
    <t>Implementar capa de API con control de acceso y limitación de consultas.</t>
  </si>
  <si>
    <t>Datos personales sin cifrado ni enmascaramiento</t>
  </si>
  <si>
    <t>Fuga de información personal (incumplimiento normativo)</t>
  </si>
  <si>
    <t>Cifrado de campos sensibles y clasificación de datos personales.</t>
  </si>
  <si>
    <t>Múltiples roles con acceso de lectura/escritura a todos los datos de clientes</t>
  </si>
  <si>
    <t>Acceso indebido o excesivo a información personal</t>
  </si>
  <si>
    <t>Control de acceso basado en roles con mínimo privilegio.</t>
  </si>
  <si>
    <t>Sin auditoría de consultas a datos sensibles de clientes</t>
  </si>
  <si>
    <t>Acceso indebido no detectado</t>
  </si>
  <si>
    <t>Auditoría de accesos a datos sensibles (Database Activity Monitoring).</t>
  </si>
  <si>
    <t>Respaldos de datos de clientes sin cifrado</t>
  </si>
  <si>
    <t>Exposición de datos personales ante robo de respaldo</t>
  </si>
  <si>
    <t>Cifrado de respaldos y control de acceso a los mismos.</t>
  </si>
  <si>
    <t>Exportaciones masivas de datos permitidas sin control</t>
  </si>
  <si>
    <t>Exfiltración masiva de datos de clientes</t>
  </si>
  <si>
    <t>Limitar y auditar las exportaciones masivas de datos (DLP).</t>
  </si>
  <si>
    <t>Falta de política de protección de datos personales</t>
  </si>
  <si>
    <t>Manejo inadecuado de datos por parte del personal</t>
  </si>
  <si>
    <t>Política de protección de datos y capacitación en normativa aplicable.</t>
  </si>
  <si>
    <t>Sin control de acceso a áreas críticas para el administrador de sistemas</t>
  </si>
  <si>
    <t>Ingreso no autorizado a zonas restringidas</t>
  </si>
  <si>
    <t>Control de acceso físico basado en roles y bitácora de ingreso.</t>
  </si>
  <si>
    <t>Acceso remoto del administrador sin restricciones ni VPN</t>
  </si>
  <si>
    <t>Interceptación de sesiones de administración remota</t>
  </si>
  <si>
    <t>Acceso remoto únicamente mediante VPN con MFA.</t>
  </si>
  <si>
    <t>Estación del administrador sin controles reforzados pese a sus privilegios</t>
  </si>
  <si>
    <t>Compromiso del equipo usado para tareas administrativas</t>
  </si>
  <si>
    <t>Estación dedicada y reforzada (PAW) para tareas administrativas.</t>
  </si>
  <si>
    <t>Uso de una sola cuenta de administrador para múltiples sistemas</t>
  </si>
  <si>
    <t>Movimiento lateral en caso de compromiso de la cuenta</t>
  </si>
  <si>
    <t>Cuentas administrativas separadas por sistema y uso de PAM.</t>
  </si>
  <si>
    <t>Acceso amplio del administrador a todos los datos sin justificación operativa</t>
  </si>
  <si>
    <t>Abuso de privilegios para acceder a información sensible</t>
  </si>
  <si>
    <t>Limitar el acceso a datos según necesidad y registrar accesos privilegiados.</t>
  </si>
  <si>
    <t>Falta de revisión periódica de privilegios asignados al rol</t>
  </si>
  <si>
    <t>Acumulación de privilegios innecesarios (privilege creep)</t>
  </si>
  <si>
    <t>Revisión periódica de privilegios y certificación de accesos.</t>
  </si>
  <si>
    <t>Actividades del administrador no auditadas de forma independiente</t>
  </si>
  <si>
    <t>Acciones maliciosas o erróneas sin detección (amenaza interna)</t>
  </si>
  <si>
    <t>Auditoría independiente y grabación de sesiones privilegiadas.</t>
  </si>
  <si>
    <t>Dependencia de una sola persona para tareas administrativas críticas</t>
  </si>
  <si>
    <t>Interrupción de operaciones ante ausencia del administrador</t>
  </si>
  <si>
    <t>Documentar procedimientos y contar con un administrador de respaldo.</t>
  </si>
  <si>
    <t>Acceso administrativo posible desde cualquier ubicación sin restricción geográfica</t>
  </si>
  <si>
    <t>Acceso indebido desde ubicaciones no habituales</t>
  </si>
  <si>
    <t>Restringir accesos administrativos por geolocalización/IP y alertar anomalías.</t>
  </si>
  <si>
    <t>Falta de capacitación continua en nuevas amenazas de ciberseguridad</t>
  </si>
  <si>
    <t>Desactualización frente a nuevas técnicas de ataque (ingeniería social)</t>
  </si>
  <si>
    <t>Capacitación continua y simulacros de phishing dirigidos.</t>
  </si>
  <si>
    <t>Firewall/router ubicado en gabinete sin cerradura</t>
  </si>
  <si>
    <t>Manipulación física del dispositivo perimetral</t>
  </si>
  <si>
    <t>Reubicar el equipo en rack con cerradura y control de acceso.</t>
  </si>
  <si>
    <t>Interfaz de administración accesible desde la red interna sin restricción</t>
  </si>
  <si>
    <t>Reconfiguración no autorizada de reglas</t>
  </si>
  <si>
    <t>Aislar la interfaz de gestión en una VLAN de administración dedicada.</t>
  </si>
  <si>
    <t>Firmware del firewall desactualizado</t>
  </si>
  <si>
    <t>Explotación de vulnerabilidades conocidas del firmware</t>
  </si>
  <si>
    <t>Plan de actualización de firmware y suscripción a boletines del fabricante.</t>
  </si>
  <si>
    <t>Panel de administración web sin límite de intentos de login</t>
  </si>
  <si>
    <t>Ataque de fuerza bruta a la consola</t>
  </si>
  <si>
    <t>Bloqueo por intentos fallidos y autenticación multifactor.</t>
  </si>
  <si>
    <t>Configuración del firewall sin respaldo cifrado</t>
  </si>
  <si>
    <t>Exposición de reglas de seguridad ante robo de respaldo</t>
  </si>
  <si>
    <t>Cifrar y resguardar los respaldos de configuración.</t>
  </si>
  <si>
    <t>Cuenta única de administrador para todo el equipo de redes</t>
  </si>
  <si>
    <t>Falta de trazabilidad en cambios de configuración</t>
  </si>
  <si>
    <t>Cuentas individuales con roles y registro de auditoría (AAA/RADIUS).</t>
  </si>
  <si>
    <t>No se revisan los logs del firewall regularmente</t>
  </si>
  <si>
    <t>Intentos de intrusión no detectados</t>
  </si>
  <si>
    <t>Envío de logs a SIEM con alertas de eventos críticos.</t>
  </si>
  <si>
    <t>No existe equipo de respaldo (failover) para el firewall</t>
  </si>
  <si>
    <t>Interrupción total de conectividad ante falla</t>
  </si>
  <si>
    <t>Implementar configuración de alta disponibilidad (HA) activo-pasivo.</t>
  </si>
  <si>
    <t>Reglas de firewall permisivas (ANY-ANY) heredadas</t>
  </si>
  <si>
    <t>Tráfico malicioso permitido hacia la red interna</t>
  </si>
  <si>
    <t>Auditoría y depuración de reglas siguiendo el principio de mínimo privilegio.</t>
  </si>
  <si>
    <t>Falta de procedimiento documentado de cambios</t>
  </si>
  <si>
    <t>Cambios no controlados que generan brechas</t>
  </si>
  <si>
    <t>Implementar proceso formal de gestión de cambios (change management).</t>
  </si>
  <si>
    <t>Servidor de pruebas ubicado en área de oficina sin control de acceso</t>
  </si>
  <si>
    <t>Acceso físico no autorizado</t>
  </si>
  <si>
    <t>Aceptar</t>
  </si>
  <si>
    <t>Aceptar el riesgo por bajo impacto, documentando la decisión, o reubicar a rack cerrado.</t>
  </si>
  <si>
    <t>Servidor de pruebas conectado a la misma red que producción</t>
  </si>
  <si>
    <t>Pivote hacia sistemas productivos</t>
  </si>
  <si>
    <t>Segmentar la red de pruebas en una VLAN aislada de producción.</t>
  </si>
  <si>
    <t>Sistema operativo de pruebas sin parches por priorizarse funcionalidad</t>
  </si>
  <si>
    <t>Explotación de vulnerabilidades sin corregir</t>
  </si>
  <si>
    <t>Incluir el servidor de pruebas en el ciclo de gestión de parches.</t>
  </si>
  <si>
    <t>Aplicaciones en prueba con configuraciones de depuración activas</t>
  </si>
  <si>
    <t>Exposición de información sensible por mensajes de error</t>
  </si>
  <si>
    <t>Deshabilitar el modo debug antes de exponer el ambiente.</t>
  </si>
  <si>
    <t>Uso de datos reales de producción sin anonimizar</t>
  </si>
  <si>
    <t>Fuga de información confidencial desde el ambiente de pruebas</t>
  </si>
  <si>
    <t>Anonimizar/enmascarar datos antes de cargarlos en pruebas.</t>
  </si>
  <si>
    <t>Credenciales por defecto sin cambiar en el ambiente de pruebas</t>
  </si>
  <si>
    <t>Acceso no autorizado al servidor</t>
  </si>
  <si>
    <t>Forzar cambio de credenciales por defecto y política de contraseñas.</t>
  </si>
  <si>
    <t>Sin monitoreo activo por considerarse ambiente no crítico</t>
  </si>
  <si>
    <t>Uso indebido no detectado</t>
  </si>
  <si>
    <t>Incluir el servidor en el monitoreo básico centralizado.</t>
  </si>
  <si>
    <t>Sin respaldo del ambiente de pruebas</t>
  </si>
  <si>
    <t>Pérdida de configuraciones y avances de prueba</t>
  </si>
  <si>
    <t>Aceptar el riesgo o programar respaldos de baja frecuencia.</t>
  </si>
  <si>
    <t>Acceso remoto (RDP/SSH) expuesto directamente a internet</t>
  </si>
  <si>
    <t>Ataques de fuerza bruta desde internet</t>
  </si>
  <si>
    <t>Cerrar el acceso directo a internet y usar VPN o bastion host.</t>
  </si>
  <si>
    <t>Falta de lineamientos sobre uso de datos en ambientes de prueba</t>
  </si>
  <si>
    <t>Manejo inadecuado de información sensible por el equipo de QA</t>
  </si>
  <si>
    <t>Política de manejo de datos de prueba y capacitación al equipo.</t>
  </si>
  <si>
    <t>Servidor de staging alojado en el mismo rack sin separación lógica</t>
  </si>
  <si>
    <t>Acceso físico no controlado</t>
  </si>
  <si>
    <t>Aceptar el riesgo o segregar físicamente el equipo del resto de la infraestructura.</t>
  </si>
  <si>
    <t>Staging accesible desde internet sin restricción de IP</t>
  </si>
  <si>
    <t>Escaneo y explotación por actores externos</t>
  </si>
  <si>
    <t>Restringir acceso a IPs autorizadas y usar autenticación básica adicional.</t>
  </si>
  <si>
    <t>Servidor de staging con configuración idéntica a producción pero sin parches recientes</t>
  </si>
  <si>
    <t>Explotación de vulnerabilidades</t>
  </si>
  <si>
    <t>Incluir staging en el ciclo de parcheo regular.</t>
  </si>
  <si>
    <t>Código en staging con features no probadas y mensajes de error detallados</t>
  </si>
  <si>
    <t>Divulgación de información técnica (stack traces)</t>
  </si>
  <si>
    <t>Configurar manejo de errores genérico también en staging.</t>
  </si>
  <si>
    <t>Uso de copia de base de datos de producción sin anonimizar</t>
  </si>
  <si>
    <t>Exposición de datos reales de clientes</t>
  </si>
  <si>
    <t>Anonimización obligatoria de datos antes de cargarlos a staging.</t>
  </si>
  <si>
    <t>Usuario y contraseña compartidos entre todo el equipo de QA</t>
  </si>
  <si>
    <t>Falta de trazabilidad de cambios</t>
  </si>
  <si>
    <t>Cuentas individuales con inicio de sesión único (SSO) corporativo.</t>
  </si>
  <si>
    <t>No se revisan logs del ambiente de staging</t>
  </si>
  <si>
    <t>Actividad anómala no detectada antes de pasar a producción</t>
  </si>
  <si>
    <t>Integrar staging al monitoreo centralizado con alertas básicas.</t>
  </si>
  <si>
    <t>Sin respaldo del ambiente de staging</t>
  </si>
  <si>
    <t>Pérdida de configuración de pruebas</t>
  </si>
  <si>
    <t>Aceptar el riesgo dado el bajo impacto del ambiente.</t>
  </si>
  <si>
    <t>Puertos de depuración (debug) abiertos al exterior</t>
  </si>
  <si>
    <t>Explotación de endpoints de desarrollo expuestos</t>
  </si>
  <si>
    <t>Cerrar puertos de depuración antes de publicar el ambiente.</t>
  </si>
  <si>
    <t>Falta de checklist de seguridad previo a promover cambios a producción</t>
  </si>
  <si>
    <t>Vulnerabilidades no detectadas que pasan a producción</t>
  </si>
  <si>
    <t>Checklist de seguridad y revisión de código previo al despliegue.</t>
  </si>
  <si>
    <t>Medios con datos de prueba sin resguardo físico</t>
  </si>
  <si>
    <t>Acceso físico no autorizado a medios de almacenamiento</t>
  </si>
  <si>
    <t>Aceptar el riesgo por bajo impacto, dado que los datos están anonimizados.</t>
  </si>
  <si>
    <t>Transferencia de datos de prueba sin cifrado entre ambientes</t>
  </si>
  <si>
    <t>Intercepción de datos durante la carga a pruebas</t>
  </si>
  <si>
    <t>Cifrar la transferencia de datos entre ambientes (SFTP/TLS).</t>
  </si>
  <si>
    <t>Servidor de datos de prueba con controles menos estrictos que producción</t>
  </si>
  <si>
    <t>Compromiso del servidor de pruebas</t>
  </si>
  <si>
    <t>Aplicar controles de seguridad equivalentes a producción, ajustados al riesgo.</t>
  </si>
  <si>
    <t>Scripts de anonimización no validados formalmente</t>
  </si>
  <si>
    <t>Anonimización incompleta que deja datos identificables</t>
  </si>
  <si>
    <t>Validar y auditar el proceso de anonimización antes de su uso.</t>
  </si>
  <si>
    <t>Proceso de anonimización reversible o débil</t>
  </si>
  <si>
    <t>Reidentificación de personas a partir de datos anonimizados</t>
  </si>
  <si>
    <t>Uso de técnicas robustas de anonimización/seudonimización irreversibles.</t>
  </si>
  <si>
    <t>Acceso a datos de prueba sin restricción para todo el equipo de QA/desarrollo</t>
  </si>
  <si>
    <t>Uso indebido de datos por personal sin necesidad de acceso</t>
  </si>
  <si>
    <t>Restringir el acceso a datos de prueba según necesidad (need-to-know).</t>
  </si>
  <si>
    <t>Sin monitoreo del uso de datos de prueba</t>
  </si>
  <si>
    <t>Extracción o copia no autorizada de datos de prueba</t>
  </si>
  <si>
    <t>Registrar y monitorear el acceso a los conjuntos de datos de prueba.</t>
  </si>
  <si>
    <t>Sin respaldo formal de los conjuntos de datos de prueba</t>
  </si>
  <si>
    <t>Pérdida de datasets preparados para pruebas</t>
  </si>
  <si>
    <t>Aceptar el riesgo por el bajo costo de regenerar los datos de prueba.</t>
  </si>
  <si>
    <t>Datos de prueba accesibles desde ambientes no controlados (equipos personales)</t>
  </si>
  <si>
    <t>Fuga de datos hacia entornos externos</t>
  </si>
  <si>
    <t>Restringir el uso de datos de prueba a entornos corporativos controlados.</t>
  </si>
  <si>
    <t>Falta de lineamientos claros sobre generación y uso de datos anonimizados</t>
  </si>
  <si>
    <t>Generación de datos de prueba inadecuadamente anonimizados</t>
  </si>
  <si>
    <t>Guía y capacitación sobre anonimización y manejo de datos de prueba.</t>
  </si>
  <si>
    <t>Estación del QA sin bloqueo automático de sesión</t>
  </si>
  <si>
    <t>Acceso no autorizado al dejar la sesión abierta</t>
  </si>
  <si>
    <t>Configurar bloqueo automático de pantalla tras inactividad.</t>
  </si>
  <si>
    <t>QA accede a ambientes de prueba desde redes no corporativas sin VPN</t>
  </si>
  <si>
    <t>Exposición de accesos desde redes no confiables</t>
  </si>
  <si>
    <t>Exigir VPN para el acceso a ambientes de prueba desde fuera de la oficina.</t>
  </si>
  <si>
    <t>Estación de QA sin antivirus actualizado</t>
  </si>
  <si>
    <t>Infección de malware que comprometa credenciales de prueba</t>
  </si>
  <si>
    <t>Antivirus/EDR gestionado y actualizado automáticamente.</t>
  </si>
  <si>
    <t>Uso de cuentas de prueba con privilegios elevados innecesarios</t>
  </si>
  <si>
    <t>Uso indebido de accesos de prueba con altos privilegios</t>
  </si>
  <si>
    <t>Asignar a QA solo los privilegios necesarios para las pruebas.</t>
  </si>
  <si>
    <t>QA maneja datos de prueba potencialmente sensibles sin lineamientos</t>
  </si>
  <si>
    <t>Divulgación accidental de información en reportes de bugs</t>
  </si>
  <si>
    <t>Lineamientos de manejo de datos sensibles en reportes y evidencias de prueba.</t>
  </si>
  <si>
    <t>Credenciales de prueba compartidas entre varios testers</t>
  </si>
  <si>
    <t>Falta de trazabilidad de acciones realizadas</t>
  </si>
  <si>
    <t>Credenciales individuales para cada tester.</t>
  </si>
  <si>
    <t>Actividad del rol de QA no se audita</t>
  </si>
  <si>
    <t>Uso indebido de accesos de prueba sin detección</t>
  </si>
  <si>
    <t>Incluir las cuentas de QA en el monitoreo de actividad general.</t>
  </si>
  <si>
    <t>Dependencia de un solo tester para casos de prueba críticos</t>
  </si>
  <si>
    <t>Retraso en pruebas críticas ante ausencia del tester</t>
  </si>
  <si>
    <t>Documentar casos de prueba y capacitar a más de una persona.</t>
  </si>
  <si>
    <t>Acceso de QA a sistemas de producción para validar incidentes</t>
  </si>
  <si>
    <t>Uso indebido de accesos de prueba en el ambiente productivo</t>
  </si>
  <si>
    <t>Prohibir el acceso de QA a producción y usar réplicas para validación.</t>
  </si>
  <si>
    <t>Falta de capacitación en seguridad para el equipo de QA</t>
  </si>
  <si>
    <t>Reporte inadecuado de vulnerabilidades encontradas (fuga de información)</t>
  </si>
  <si>
    <t>Capacitar al equipo de QA en manejo responsable de hallazgos de seguridad.</t>
  </si>
  <si>
    <t>Servidor de la herramienta de automatización sin acceso restringido</t>
  </si>
  <si>
    <t>Aceptar el riesgo por bajo impacto, o ubicar el servidor en área restringida.</t>
  </si>
  <si>
    <t>Herramienta de automatización accesible desde toda la red sin segmentación</t>
  </si>
  <si>
    <t>Acceso no autorizado a scripts y resultados de prueba</t>
  </si>
  <si>
    <t>Restringir acceso mediante VLAN y control de firewall.</t>
  </si>
  <si>
    <t>Servidor con dependencias y librerías desactualizadas</t>
  </si>
  <si>
    <t>Explotación de vulnerabilidades en librerías de automatización</t>
  </si>
  <si>
    <t>Actualización periódica de dependencias y escaneo de vulnerabilidades (SCA).</t>
  </si>
  <si>
    <t>Scripts de automatización con credenciales embebidas en texto plano</t>
  </si>
  <si>
    <t>Exposición de credenciales de otros sistemas</t>
  </si>
  <si>
    <t>Uso de gestor de secretos (vault) para credenciales de pruebas.</t>
  </si>
  <si>
    <t>Resultados de pruebas almacenan datos sensibles sin protección</t>
  </si>
  <si>
    <t>Exposición de información al compartir reportes</t>
  </si>
  <si>
    <t>Enmascarar datos sensibles en los reportes generados.</t>
  </si>
  <si>
    <t>Cuenta de servicio con privilegios elevados para ejecutar pruebas</t>
  </si>
  <si>
    <t>Abuso de la cuenta de servicio para acceso indebido</t>
  </si>
  <si>
    <t>Limitar privilegios de la cuenta de servicio al mínimo necesario.</t>
  </si>
  <si>
    <t>No se audita el uso de la herramienta de automatización</t>
  </si>
  <si>
    <t>Ejecuciones no autorizadas sin detección</t>
  </si>
  <si>
    <t>Habilitar auditoría de ejecuciones y accesos.</t>
  </si>
  <si>
    <t>Configuración de pruebas sin versionado ni respaldo</t>
  </si>
  <si>
    <t>Pérdida de suites de prueba desarrolladas</t>
  </si>
  <si>
    <t>Versionar la configuración en el repositorio de código.</t>
  </si>
  <si>
    <t>Integración con sistemas externos (CI/CD) sin control de acceso</t>
  </si>
  <si>
    <t>Uso de la herramienta como puente hacia otros sistemas</t>
  </si>
  <si>
    <t>Restringir y auditar las integraciones externas.</t>
  </si>
  <si>
    <t>Equipo de QA sin capacitación en manejo seguro de credenciales de prueba</t>
  </si>
  <si>
    <t>Malas prácticas que exponen accesos</t>
  </si>
  <si>
    <t>Capacitación en manejo seguro de credenciales y datos de prueba.</t>
  </si>
  <si>
    <t>Laptops de desarrollo sin cable de seguridad ni resguardo</t>
  </si>
  <si>
    <t>Robo de equipo con código fuente</t>
  </si>
  <si>
    <t>Uso de candados de seguridad y cifrado de disco.</t>
  </si>
  <si>
    <t>Conexión a redes Wi-Fi públicas sin VPN</t>
  </si>
  <si>
    <t>Intercepción de credenciales y tráfico</t>
  </si>
  <si>
    <t>Uso obligatorio de VPN corporativa en redes externas.</t>
  </si>
  <si>
    <t>Estaciones sin antivirus/EDR centralizado</t>
  </si>
  <si>
    <t>Infección por malware</t>
  </si>
  <si>
    <t>Desplegar EDR gestionado y políticas de actualización automática.</t>
  </si>
  <si>
    <t>Instalación libre de software no autorizado</t>
  </si>
  <si>
    <t>Ejecución de software malicioso o no licenciado</t>
  </si>
  <si>
    <t>Lista blanca de aplicaciones y permisos de instalación restringidos.</t>
  </si>
  <si>
    <t>Código fuente y credenciales almacenados sin cifrado en el disco local</t>
  </si>
  <si>
    <t>Exposición de información ante pérdida o robo del equipo</t>
  </si>
  <si>
    <t>Cifrado de disco completo (BitLocker/FileVault) obligatorio.</t>
  </si>
  <si>
    <t>Sesión de usuario con privilegios de administrador local permanentes</t>
  </si>
  <si>
    <t>Escalamiento de privilegios por malware</t>
  </si>
  <si>
    <t>Principio de mínimo privilegio, cuenta estándar y elevación puntual.</t>
  </si>
  <si>
    <t>Sin registro centralizado de actividad en estaciones de desarrollo</t>
  </si>
  <si>
    <t>Actividad maliciosa no detectada</t>
  </si>
  <si>
    <t>Centralizar logs de endpoint en el SIEM corporativo.</t>
  </si>
  <si>
    <t>Trabajo local sin respaldo automático a repositorio</t>
  </si>
  <si>
    <t>Pérdida de avances de desarrollo</t>
  </si>
  <si>
    <t>Políticas de commit frecuente y respaldo en la nube.</t>
  </si>
  <si>
    <t>Acceso directo a servicios internos sin pasar por VPN/proxy</t>
  </si>
  <si>
    <t>Exposición de servicios internos desde estaciones comprometidas</t>
  </si>
  <si>
    <t>Forzar acceso a servicios internos mediante VPN y proxy corporativo.</t>
  </si>
  <si>
    <t>Falta de capacitación en seguridad para desarrolladores</t>
  </si>
  <si>
    <t>Prácticas inseguras de codificación (secretos en el código)</t>
  </si>
  <si>
    <t>Capacitación en secure coding y uso de gestores de secretos.</t>
  </si>
  <si>
    <t>Servidor Git autoalojado sin control de acceso físico</t>
  </si>
  <si>
    <t>Acceso físico no autorizado al servidor</t>
  </si>
  <si>
    <t>Alojar el servidor en centro de datos con control de acceso.</t>
  </si>
  <si>
    <t>Acceso al repositorio sin restricción de origen</t>
  </si>
  <si>
    <t>Acceso no autorizado desde redes externas</t>
  </si>
  <si>
    <t>Restringir el acceso por VPN o lista de IPs permitidas.</t>
  </si>
  <si>
    <t>Servidor Git con sistema operativo desactualizado</t>
  </si>
  <si>
    <t>Explotación de vulnerabilidades del servidor</t>
  </si>
  <si>
    <t>Actualizaciones periódicas y hardening del servidor.</t>
  </si>
  <si>
    <t>Sin revisión obligatoria de código antes de fusionar (merge)</t>
  </si>
  <si>
    <t>Introducción de código malicioso o vulnerable</t>
  </si>
  <si>
    <t>Exigir revisión de código (pull request) y análisis estático antes de merge.</t>
  </si>
  <si>
    <t>Historial del repositorio contiene credenciales expuestas en commits antiguos</t>
  </si>
  <si>
    <t>Fuga de credenciales desde el historial de versiones</t>
  </si>
  <si>
    <t>Escaneo de secretos y limpieza del historial (git-secrets, purga de commits).</t>
  </si>
  <si>
    <t>Autenticación sin MFA para acceso al repositorio</t>
  </si>
  <si>
    <t>Compromiso de cuentas de desarrolladores</t>
  </si>
  <si>
    <t>Habilitar autenticación multifactor para todos los usuarios.</t>
  </si>
  <si>
    <t>Sin auditoría de accesos y cambios en el repositorio</t>
  </si>
  <si>
    <t>Modificaciones no autorizadas sin trazabilidad</t>
  </si>
  <si>
    <t>Habilitar logs de auditoría y alertas ante cambios sensibles.</t>
  </si>
  <si>
    <t>Repositorio sin respaldo fuera del servidor principal</t>
  </si>
  <si>
    <t>Pérdida del código fuente ante fallo o ataque</t>
  </si>
  <si>
    <t>Respaldo periódico en ubicación externa/nube.</t>
  </si>
  <si>
    <t>Webhooks del repositorio expuestos sin validación de firma</t>
  </si>
  <si>
    <t>Manipulación de integraciones CI/CD mediante webhooks falsos</t>
  </si>
  <si>
    <t>Validar firmas de webhooks y restringir orígenes.</t>
  </si>
  <si>
    <t>Falta de política de ramas y buenas prácticas de versionado</t>
  </si>
  <si>
    <t>Errores humanos que generan brechas de seguridad</t>
  </si>
  <si>
    <t>Definir y capacitar en una política de branching y buenas prácticas Git.</t>
  </si>
  <si>
    <t>Copias locales de código fuente en dispositivos sin cifrado</t>
  </si>
  <si>
    <t>Exposición de código fuente ante robo de dispositivo</t>
  </si>
  <si>
    <t>Cifrado de disco obligatorio en todos los dispositivos de desarrollo.</t>
  </si>
  <si>
    <t>Transferencia de código y credenciales por canales no cifrados (FTP, email)</t>
  </si>
  <si>
    <t>Intercepción de código fuente y credenciales</t>
  </si>
  <si>
    <t>Prohibir canales no cifrados y usar el repositorio Git como único medio de transferencia.</t>
  </si>
  <si>
    <t>Archivos de configuración con credenciales en texto plano en las estaciones</t>
  </si>
  <si>
    <t>Robo de credenciales desde archivos locales</t>
  </si>
  <si>
    <t>Eliminar credenciales en texto plano y usar variables de entorno seguras/gestor de secretos.</t>
  </si>
  <si>
    <t>Credenciales de bases de datos y APIs embebidas directamente en el código</t>
  </si>
  <si>
    <t>Exposición de credenciales al compartir o publicar el código</t>
  </si>
  <si>
    <t>Migrar a un gestor de secretos (Vault, AWS Secrets Manager) y eliminar credenciales embebidas.</t>
  </si>
  <si>
    <t>Código fuente sin clasificación de confidencialidad</t>
  </si>
  <si>
    <t>Divulgación de lógica de negocio y propiedad intelectual</t>
  </si>
  <si>
    <t>Clasificar el código fuente como información confidencial y restringir su distribución.</t>
  </si>
  <si>
    <t>Credenciales compartidas entre desarrolladores para acceso a ambientes</t>
  </si>
  <si>
    <t>Falta de trazabilidad ante uso indebido</t>
  </si>
  <si>
    <t>Credenciales individuales y rotación periódica de secretos.</t>
  </si>
  <si>
    <t>Sin detección de credenciales expuestas en el código (secret scanning)</t>
  </si>
  <si>
    <t>Credenciales filtradas sin ser detectadas a tiempo</t>
  </si>
  <si>
    <t>Implementar escaneo automático de secretos en cada commit/pipeline.</t>
  </si>
  <si>
    <t>Credenciales críticas conocidas solo por una persona</t>
  </si>
  <si>
    <t>Pérdida de acceso a sistemas ante ausencia del responsable</t>
  </si>
  <si>
    <t>Documentar y resguardar credenciales críticas en un gestor de secretos compartido y controlado.</t>
  </si>
  <si>
    <t>Credenciales de producción utilizadas en entornos de desarrollo</t>
  </si>
  <si>
    <t>Compromiso de producción a través de un entorno de desarrollo vulnerado</t>
  </si>
  <si>
    <t>Prohibir el uso de credenciales de producción fuera de dicho ambiente.</t>
  </si>
  <si>
    <t>Falta de capacitación sobre manejo seguro de secretos y credenciales</t>
  </si>
  <si>
    <t>Prácticas inseguras que exponen código y credenciales</t>
  </si>
  <si>
    <t>Capacitación obligatoria en gestión segura de secretos para el equipo de desarrollo.</t>
  </si>
  <si>
    <t>Área de desarrollo sin control de acceso restringido</t>
  </si>
  <si>
    <t>Acceso no autorizado a estaciones de desarrolladores</t>
  </si>
  <si>
    <t>Control de acceso a las áreas de desarrollo y políticas de escritorio limpio.</t>
  </si>
  <si>
    <t>Desarrolladores con acceso amplio a redes de producción para depuración</t>
  </si>
  <si>
    <t>Uso de accesos de desarrollo para comprometer producción</t>
  </si>
  <si>
    <t>Restringir el acceso de desarrollo a producción mediante segmentación y aprobaciones.</t>
  </si>
  <si>
    <t>Estaciones de desarrollo con software y librerías de terceros sin control</t>
  </si>
  <si>
    <t>Instalación de dependencias maliciosas</t>
  </si>
  <si>
    <t>Control de dependencias mediante repositorios internos verificados.</t>
  </si>
  <si>
    <t>Prácticas de codificación sin seguir estándares de seguridad (OWASP)</t>
  </si>
  <si>
    <t>Introducción de vulnerabilidades en el software desarrollado</t>
  </si>
  <si>
    <t>Adoptar estándares seguros de codificación (OWASP) y revisiones de código.</t>
  </si>
  <si>
    <t>Uso de datos de producción en el entorno local de desarrollo</t>
  </si>
  <si>
    <t>Exposición de datos reales en equipos de desarrollo</t>
  </si>
  <si>
    <t>Prohibir el uso de datos reales de producción en desarrollo; usar datos sintéticos.</t>
  </si>
  <si>
    <t>Cuentas de desarrollador con acceso permanente a sistemas productivos</t>
  </si>
  <si>
    <t>Acceso indebido a producción por parte de desarrolladores</t>
  </si>
  <si>
    <t>Acceso a producción solo temporal y aprobado (just-in-time access).</t>
  </si>
  <si>
    <t>Actividad de los desarrolladores en repositorios y sistemas no se audita</t>
  </si>
  <si>
    <t>Cambios maliciosos o erróneos sin trazabilidad</t>
  </si>
  <si>
    <t>Auditoría de actividad en repositorios y sistemas de desarrollo.</t>
  </si>
  <si>
    <t>Conocimiento crítico concentrado en pocos desarrolladores (bus factor)</t>
  </si>
  <si>
    <t>Pérdida de continuidad ante salida de personal clave</t>
  </si>
  <si>
    <t>Documentación técnica y rotación de conocimiento entre el equipo.</t>
  </si>
  <si>
    <t>Desarrolladores con VPN de acceso amplio a toda la red corporativa</t>
  </si>
  <si>
    <t>Uso de acceso VPN como vector de entrada a otros sistemas</t>
  </si>
  <si>
    <t>Segmentar el acceso VPN según el sistema que cada desarrollador requiere.</t>
  </si>
  <si>
    <t>Falta de programa formal de concientización en seguridad para desarrolladores</t>
  </si>
  <si>
    <t>Vulnerabilidades por desconocimiento de amenazas actuales</t>
  </si>
  <si>
    <t>Programa continuo de capacitación en seguridad y desarrollo seguro (SDLC seguro).</t>
  </si>
  <si>
    <t>Servidor de CI/CD alojado sin control de acceso físico</t>
  </si>
  <si>
    <t>Ubicar el servidor de CI/CD en centro de datos controlado.</t>
  </si>
  <si>
    <t>Agentes de CI/CD con acceso amplio a la red interna</t>
  </si>
  <si>
    <t>Uso del pipeline como pivote hacia otros sistemas</t>
  </si>
  <si>
    <t>Segmentar la red de los agentes de CI/CD con reglas restrictivas.</t>
  </si>
  <si>
    <t>Imágenes/agentes de CI/CD desactualizados</t>
  </si>
  <si>
    <t>Explotación de vulnerabilidades en el entorno de ejecución</t>
  </si>
  <si>
    <t>Actualización periódica de imágenes base y agentes.</t>
  </si>
  <si>
    <t>Pipeline ejecuta código de dependencias sin verificación</t>
  </si>
  <si>
    <t>Ataques a la cadena de suministro (supply chain)</t>
  </si>
  <si>
    <t>Verificación de integridad de dependencias y uso de repositorios confiables.</t>
  </si>
  <si>
    <t>Variables de entorno con secretos visibles en logs del pipeline</t>
  </si>
  <si>
    <t>Exposición de credenciales en registros de ejecución</t>
  </si>
  <si>
    <t>Uso de gestor de secretos y enmascarado de variables sensibles en logs.</t>
  </si>
  <si>
    <t>Cuenta de servicio del pipeline con permisos de administrador</t>
  </si>
  <si>
    <t>Abuso de privilegios excesivos del pipeline</t>
  </si>
  <si>
    <t>Aplicar mínimo privilegio a las cuentas de servicio del CI/CD.</t>
  </si>
  <si>
    <t>Sin alertas ante fallos o cambios inusuales en el pipeline</t>
  </si>
  <si>
    <t>Manipulación del proceso de build/despliegue sin detección</t>
  </si>
  <si>
    <t>Monitoreo y alertas sobre cambios en la configuración del pipeline.</t>
  </si>
  <si>
    <t>Configuración del pipeline sin versionado (pipeline as code)</t>
  </si>
  <si>
    <t>Pérdida de configuración crítica de despliegue</t>
  </si>
  <si>
    <t>Definir el pipeline como código versionado en el repositorio.</t>
  </si>
  <si>
    <t>Acceso al panel del CI/CD expuesto a internet sin restricción</t>
  </si>
  <si>
    <t>Acceso externo no autorizado a la plataforma de CI/CD</t>
  </si>
  <si>
    <t>Restringir el acceso mediante VPN y autenticación reforzada.</t>
  </si>
  <si>
    <t>Falta de capacitación en seguridad de pipelines (DevSecOps)</t>
  </si>
  <si>
    <t>Introducción de prácticas inseguras en el proceso de integración</t>
  </si>
  <si>
    <t>Capacitar al equipo en prácticas DevSecOps.</t>
  </si>
  <si>
    <t>Matriz de Calor — Frecuencia de Riesgos por Probabilidad x Impacto</t>
  </si>
  <si>
    <t>Probabilidad \ Impacto</t>
  </si>
  <si>
    <t>Total de riesgos registrados:</t>
  </si>
  <si>
    <t>Resumen por Nivel MAGERIT</t>
  </si>
  <si>
    <t>Resumen por Nivel OCTAVE</t>
  </si>
  <si>
    <t>Nivel</t>
  </si>
  <si>
    <t>Cantidad de riesgos</t>
  </si>
  <si>
    <t>Bajo</t>
  </si>
  <si>
    <t>Moderado</t>
  </si>
  <si>
    <t>Alto</t>
  </si>
  <si>
    <t>Crítico</t>
  </si>
  <si>
    <t>Riesgos
Bajo</t>
  </si>
  <si>
    <t>Riesgos
Moderado</t>
  </si>
  <si>
    <t>Riesgos
Alto</t>
  </si>
  <si>
    <t>Riesgos
Crítico</t>
  </si>
  <si>
    <t>Prioridad de
Tratamiento</t>
  </si>
  <si>
    <t>Escala de Probabilidad / Impacto (1-5)</t>
  </si>
  <si>
    <t>Niveles de Riesgo (MAGERIT / OCTAVE)</t>
  </si>
  <si>
    <t>Valor</t>
  </si>
  <si>
    <t>Descripción</t>
  </si>
  <si>
    <t>Límite inferior</t>
  </si>
  <si>
    <t>Color</t>
  </si>
  <si>
    <t>Muy baja</t>
  </si>
  <si>
    <t>Verde</t>
  </si>
  <si>
    <t>Baja</t>
  </si>
  <si>
    <t>Amarillo</t>
  </si>
  <si>
    <t>Media</t>
  </si>
  <si>
    <t>Naranja</t>
  </si>
  <si>
    <t>Alta</t>
  </si>
  <si>
    <t>Rojo</t>
  </si>
  <si>
    <t>Muy alta</t>
  </si>
  <si>
    <t>Criticidad de Activos (1-5)</t>
  </si>
  <si>
    <t>Tratamiento de Riesgo</t>
  </si>
  <si>
    <t>Clasificación</t>
  </si>
  <si>
    <t>Evitar</t>
  </si>
  <si>
    <t>Transferir</t>
  </si>
  <si>
    <t>TOP 10 RIESGOS MÁS CRÍTICOS Y GRÁFICAS DE RESUMEN</t>
  </si>
  <si>
    <t>Los 10 riesgos con mayor puntaje de Riesgo MAGERIT (Probabilidad x Impacto), calculados automáticamente desde la hoja Riesgos.</t>
  </si>
  <si>
    <t>Puesto</t>
  </si>
  <si>
    <t>Capa de Seguridad</t>
  </si>
  <si>
    <t>Prob.</t>
  </si>
  <si>
    <t>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</si>
</sst>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3"/>
      <color rgb="FF2E75B6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name val="Arial"/>
      <charset val="1"/>
    </font>
    <font>
      <b/>
      <i/>
      <sz val="9"/>
      <color rgb="FF808080"/>
      <name val="Arial"/>
      <charset val="1"/>
    </font>
    <font>
      <b/>
      <sz val="13"/>
      <color rgb="FF1F4E78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4672A8"/>
      </patternFill>
    </fill>
    <fill>
      <patternFill patternType="solid">
        <fgColor rgb="FFFFF2CC"/>
        <bgColor rgb="FFFFEB9C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FC299"/>
        <bgColor rgb="FFFFC7CE"/>
      </patternFill>
    </fill>
    <fill>
      <patternFill patternType="solid">
        <fgColor rgb="FFFFC7CE"/>
        <bgColor rgb="FFFFC2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4" fillId="0" borderId="0" xfId="0" applyFont="1"/>
    <xf numFmtId="0" fontId="1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3" borderId="0" xfId="0" applyFont="1" applyFill="1"/>
    <xf numFmtId="0" fontId="9" fillId="0" borderId="0" xfId="0" applyFont="1"/>
    <xf numFmtId="0" fontId="0" fillId="0" borderId="1" xfId="0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5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0" fontId="16" fillId="0" borderId="2" xfId="0" applyFont="1" applyBorder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299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299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3A9CE"/>
      <rgbColor rgb="FFAB4744"/>
      <rgbColor rgb="FFFFF2CC"/>
      <rgbColor rgb="FFD9E1F2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7B7B7"/>
      <rgbColor rgb="FFFFC7CE"/>
      <rgbColor rgb="FFCC99FF"/>
      <rgbColor rgb="FFFFC299"/>
      <rgbColor rgb="FF2E75B6"/>
      <rgbColor rgb="FF33CCCC"/>
      <rgbColor rgb="FF92D050"/>
      <rgbColor rgb="FFFFC000"/>
      <rgbColor rgb="FFFF9900"/>
      <rgbColor rgb="FFFF6600"/>
      <rgbColor rgb="FF4672A8"/>
      <rgbColor rgb="FFB3B3B3"/>
      <rgbColor rgb="FF003366"/>
      <rgbColor rgb="FF4F81BD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Top 10 Riesgos por Puntaje (Riesgo MAGERIT)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Top10_y_Graficas!$I$5</c:f>
              <c:strCache>
                <c:ptCount val="1"/>
                <c:pt idx="0">
                  <c:v>Riesgo
MAGERIT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Top10_y_Graficas!$D$6:$D$15</c:f>
              <c:strCache>
                <c:ptCount val="10"/>
                <c:pt idx="0">
                  <c:v>Código fuente y credenciales</c:v>
                </c:pt>
                <c:pt idx="1">
                  <c:v>Servidor de Base de Datos</c:v>
                </c:pt>
                <c:pt idx="2">
                  <c:v>Servidor de Base de Datos</c:v>
                </c:pt>
                <c:pt idx="3">
                  <c:v>Servidor de pruebas</c:v>
                </c:pt>
                <c:pt idx="4">
                  <c:v>Herramienta de automatización de pruebas</c:v>
                </c:pt>
                <c:pt idx="5">
                  <c:v>Código fuente y credenciales</c:v>
                </c:pt>
                <c:pt idx="6">
                  <c:v>Desarrollador</c:v>
                </c:pt>
                <c:pt idx="7">
                  <c:v>Servidor de Base de Datos</c:v>
                </c:pt>
                <c:pt idx="8">
                  <c:v>Servidor de Base de Datos</c:v>
                </c:pt>
                <c:pt idx="9">
                  <c:v>Servidor de Base de Datos</c:v>
                </c:pt>
              </c:strCache>
            </c:strRef>
          </c:cat>
          <c:val>
            <c:numRef>
              <c:f>Top10_y_Graficas!$I$6:$I$15</c:f>
              <c:numCache>
                <c:formatCode>General</c:formatCode>
                <c:ptCount val="10"/>
                <c:pt idx="0">
                  <c:v>20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9-472D-8F5C-6395470E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6779862"/>
        <c:axId val="51128429"/>
      </c:barChart>
      <c:catAx>
        <c:axId val="5677986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GT" sz="1000" b="1" strike="noStrike" spc="-1">
                    <a:solidFill>
                      <a:srgbClr val="000000"/>
                    </a:solidFill>
                    <a:latin typeface="Calibri"/>
                  </a:rPr>
                  <a:t>Riesgo MAGERIT (Probabilidad x Impacto)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51128429"/>
        <c:crosses val="autoZero"/>
        <c:auto val="1"/>
        <c:lblAlgn val="ctr"/>
        <c:lblOffset val="100"/>
        <c:noMultiLvlLbl val="0"/>
      </c:catAx>
      <c:valAx>
        <c:axId val="5112842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567798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Distribución de Riesgos por Nivel (MAGERIT vs OCTAVE)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Nivel MAGERIT</c:v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Matriz_Calor!$A$14:$A$17</c:f>
              <c:strCache>
                <c:ptCount val="4"/>
                <c:pt idx="0">
                  <c:v>Bajo</c:v>
                </c:pt>
                <c:pt idx="1">
                  <c:v>Moderado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Matriz_Calor!$B$14:$B$17</c:f>
              <c:numCache>
                <c:formatCode>General</c:formatCode>
                <c:ptCount val="4"/>
                <c:pt idx="0">
                  <c:v>7</c:v>
                </c:pt>
                <c:pt idx="1">
                  <c:v>67</c:v>
                </c:pt>
                <c:pt idx="2">
                  <c:v>76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9-4C5C-B16F-1AE2A136E055}"/>
            </c:ext>
          </c:extLst>
        </c:ser>
        <c:ser>
          <c:idx val="1"/>
          <c:order val="1"/>
          <c:tx>
            <c:v>Nivel OCTAVE</c:v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Matriz_Calor!$A$14:$A$17</c:f>
              <c:strCache>
                <c:ptCount val="4"/>
                <c:pt idx="0">
                  <c:v>Bajo</c:v>
                </c:pt>
                <c:pt idx="1">
                  <c:v>Moderado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Matriz_Calor!$E$14:$E$17</c:f>
              <c:numCache>
                <c:formatCode>General</c:formatCode>
                <c:ptCount val="4"/>
                <c:pt idx="0">
                  <c:v>64</c:v>
                </c:pt>
                <c:pt idx="1">
                  <c:v>78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9-4C5C-B16F-1AE2A136E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33047"/>
        <c:axId val="27635348"/>
      </c:barChart>
      <c:catAx>
        <c:axId val="166330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GT" sz="1000" b="1" strike="noStrike" spc="-1">
                    <a:solidFill>
                      <a:srgbClr val="000000"/>
                    </a:solidFill>
                    <a:latin typeface="Calibri"/>
                  </a:rPr>
                  <a:t>Nivel de riesgo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27635348"/>
        <c:crosses val="autoZero"/>
        <c:auto val="1"/>
        <c:lblAlgn val="ctr"/>
        <c:lblOffset val="100"/>
        <c:noMultiLvlLbl val="0"/>
      </c:catAx>
      <c:valAx>
        <c:axId val="276353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GT" sz="1000" b="1" strike="noStrike" spc="-1">
                    <a:solidFill>
                      <a:srgbClr val="000000"/>
                    </a:solidFill>
                    <a:latin typeface="Calibri"/>
                  </a:rPr>
                  <a:t>Cantidad de riesgos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16633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Riesgos Alto y Crítico por Activo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Riesgos Alto</c:v>
          </c:tx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Tratamiento!$B$2:$B$16</c:f>
              <c:strCache>
                <c:ptCount val="15"/>
                <c:pt idx="0">
                  <c:v>Servidor de Base de Datos</c:v>
                </c:pt>
                <c:pt idx="1">
                  <c:v>Sistema ERP / Facturación</c:v>
                </c:pt>
                <c:pt idx="2">
                  <c:v>Datos de clientes</c:v>
                </c:pt>
                <c:pt idx="3">
                  <c:v>Administrador de sistemas</c:v>
                </c:pt>
                <c:pt idx="4">
                  <c:v>Firewall / Router de borde</c:v>
                </c:pt>
                <c:pt idx="5">
                  <c:v>Servidor de pruebas</c:v>
                </c:pt>
                <c:pt idx="6">
                  <c:v>Ambiente de staging web</c:v>
                </c:pt>
                <c:pt idx="7">
                  <c:v>Datos de prueba anonimizados</c:v>
                </c:pt>
                <c:pt idx="8">
                  <c:v>QA Tester</c:v>
                </c:pt>
                <c:pt idx="9">
                  <c:v>Herramienta de automatización de pruebas</c:v>
                </c:pt>
                <c:pt idx="10">
                  <c:v>Estación de trabajo del desarrollador</c:v>
                </c:pt>
                <c:pt idx="11">
                  <c:v>Repositorio de código (Git)</c:v>
                </c:pt>
                <c:pt idx="12">
                  <c:v>Código fuente y credenciales</c:v>
                </c:pt>
                <c:pt idx="13">
                  <c:v>Desarrollador</c:v>
                </c:pt>
                <c:pt idx="14">
                  <c:v>Entorno IDE / CI-CD</c:v>
                </c:pt>
              </c:strCache>
            </c:strRef>
          </c:cat>
          <c:val>
            <c:numRef>
              <c:f>Tratamiento!$F$2:$F$16</c:f>
              <c:numCache>
                <c:formatCode>General</c:formatCode>
                <c:ptCount val="15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3-4AA9-9AE3-FFCD3086450B}"/>
            </c:ext>
          </c:extLst>
        </c:ser>
        <c:ser>
          <c:idx val="1"/>
          <c:order val="1"/>
          <c:tx>
            <c:v>Riesgos Crítico</c:v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Tratamiento!$B$2:$B$16</c:f>
              <c:strCache>
                <c:ptCount val="15"/>
                <c:pt idx="0">
                  <c:v>Servidor de Base de Datos</c:v>
                </c:pt>
                <c:pt idx="1">
                  <c:v>Sistema ERP / Facturación</c:v>
                </c:pt>
                <c:pt idx="2">
                  <c:v>Datos de clientes</c:v>
                </c:pt>
                <c:pt idx="3">
                  <c:v>Administrador de sistemas</c:v>
                </c:pt>
                <c:pt idx="4">
                  <c:v>Firewall / Router de borde</c:v>
                </c:pt>
                <c:pt idx="5">
                  <c:v>Servidor de pruebas</c:v>
                </c:pt>
                <c:pt idx="6">
                  <c:v>Ambiente de staging web</c:v>
                </c:pt>
                <c:pt idx="7">
                  <c:v>Datos de prueba anonimizados</c:v>
                </c:pt>
                <c:pt idx="8">
                  <c:v>QA Tester</c:v>
                </c:pt>
                <c:pt idx="9">
                  <c:v>Herramienta de automatización de pruebas</c:v>
                </c:pt>
                <c:pt idx="10">
                  <c:v>Estación de trabajo del desarrollador</c:v>
                </c:pt>
                <c:pt idx="11">
                  <c:v>Repositorio de código (Git)</c:v>
                </c:pt>
                <c:pt idx="12">
                  <c:v>Código fuente y credenciales</c:v>
                </c:pt>
                <c:pt idx="13">
                  <c:v>Desarrollador</c:v>
                </c:pt>
                <c:pt idx="14">
                  <c:v>Entorno IDE / CI-CD</c:v>
                </c:pt>
              </c:strCache>
            </c:strRef>
          </c:cat>
          <c:val>
            <c:numRef>
              <c:f>Tratamiento!$G$2:$G$16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3-4AA9-9AE3-FFCD30864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0424"/>
        <c:axId val="65460367"/>
      </c:barChart>
      <c:catAx>
        <c:axId val="592104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GT" sz="1000" b="1" strike="noStrike" spc="-1">
                    <a:solidFill>
                      <a:srgbClr val="000000"/>
                    </a:solidFill>
                    <a:latin typeface="Calibri"/>
                  </a:rPr>
                  <a:t>Cantidad de riesgos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65460367"/>
        <c:crosses val="autoZero"/>
        <c:auto val="1"/>
        <c:lblAlgn val="ctr"/>
        <c:lblOffset val="100"/>
        <c:noMultiLvlLbl val="0"/>
      </c:catAx>
      <c:valAx>
        <c:axId val="6546036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592104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54428</xdr:colOff>
      <xdr:row>16</xdr:row>
      <xdr:rowOff>174172</xdr:rowOff>
    </xdr:from>
    <xdr:to>
      <xdr:col>5</xdr:col>
      <xdr:colOff>1079963</xdr:colOff>
      <xdr:row>33</xdr:row>
      <xdr:rowOff>175252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417960</xdr:colOff>
      <xdr:row>34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5</xdr:col>
      <xdr:colOff>1023630</xdr:colOff>
      <xdr:row>54</xdr:row>
      <xdr:rowOff>149760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showGridLines="0" zoomScale="90" zoomScaleNormal="90" workbookViewId="0">
      <selection activeCell="C22" sqref="C22"/>
    </sheetView>
  </sheetViews>
  <sheetFormatPr baseColWidth="10" defaultColWidth="8.7109375" defaultRowHeight="15" x14ac:dyDescent="0.25"/>
  <cols>
    <col min="1" max="1" width="3" customWidth="1"/>
    <col min="2" max="2" width="40" customWidth="1"/>
    <col min="3" max="3" width="60" customWidth="1"/>
    <col min="4" max="4" width="3" customWidth="1"/>
  </cols>
  <sheetData>
    <row r="2" spans="2:3" ht="20.25" customHeight="1" x14ac:dyDescent="0.3">
      <c r="B2" s="5" t="s">
        <v>0</v>
      </c>
    </row>
    <row r="3" spans="2:3" ht="16.5" customHeight="1" x14ac:dyDescent="0.25">
      <c r="B3" s="6" t="s">
        <v>1</v>
      </c>
    </row>
    <row r="4" spans="2:3" ht="15" customHeight="1" x14ac:dyDescent="0.25">
      <c r="B4" s="7" t="s">
        <v>2</v>
      </c>
    </row>
    <row r="6" spans="2:3" ht="15" customHeight="1" x14ac:dyDescent="0.25">
      <c r="B6" s="8" t="s">
        <v>3</v>
      </c>
      <c r="C6" s="8" t="s">
        <v>4</v>
      </c>
    </row>
    <row r="7" spans="2:3" ht="71.25" customHeight="1" x14ac:dyDescent="0.25">
      <c r="B7" s="9" t="s">
        <v>5</v>
      </c>
      <c r="C7" s="10" t="s">
        <v>6</v>
      </c>
    </row>
    <row r="8" spans="2:3" ht="59.25" customHeight="1" x14ac:dyDescent="0.25">
      <c r="B8" s="9" t="s">
        <v>7</v>
      </c>
      <c r="C8" s="10" t="s">
        <v>8</v>
      </c>
    </row>
    <row r="9" spans="2:3" ht="51" customHeight="1" x14ac:dyDescent="0.25">
      <c r="B9" s="9" t="s">
        <v>9</v>
      </c>
      <c r="C9" s="10" t="s">
        <v>10</v>
      </c>
    </row>
    <row r="10" spans="2:3" ht="33.75" customHeight="1" x14ac:dyDescent="0.25">
      <c r="B10" s="9" t="s">
        <v>11</v>
      </c>
      <c r="C10" s="10" t="s">
        <v>12</v>
      </c>
    </row>
    <row r="11" spans="2:3" ht="33.75" customHeight="1" x14ac:dyDescent="0.25">
      <c r="B11" s="9" t="s">
        <v>13</v>
      </c>
      <c r="C11" s="10" t="s">
        <v>14</v>
      </c>
    </row>
    <row r="13" spans="2:3" ht="15" customHeight="1" x14ac:dyDescent="0.25">
      <c r="B13" s="11" t="s">
        <v>15</v>
      </c>
    </row>
    <row r="14" spans="2:3" ht="15" customHeight="1" x14ac:dyDescent="0.25">
      <c r="B14" s="12" t="s">
        <v>16</v>
      </c>
      <c r="C14" t="s">
        <v>17</v>
      </c>
    </row>
    <row r="15" spans="2:3" ht="15" customHeight="1" x14ac:dyDescent="0.25">
      <c r="B15" s="13" t="s">
        <v>18</v>
      </c>
      <c r="C15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90" zoomScaleNormal="9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5" customWidth="1"/>
    <col min="2" max="3" width="14" customWidth="1"/>
    <col min="4" max="4" width="30" customWidth="1"/>
    <col min="5" max="5" width="18" customWidth="1"/>
    <col min="6" max="7" width="10" customWidth="1"/>
    <col min="8" max="9" width="12" customWidth="1"/>
    <col min="10" max="10" width="14" customWidth="1"/>
  </cols>
  <sheetData>
    <row r="1" spans="1:10" ht="33.75" customHeight="1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</row>
    <row r="2" spans="1:10" ht="15" customHeight="1" x14ac:dyDescent="0.25">
      <c r="A2" s="14">
        <v>1</v>
      </c>
      <c r="B2" s="14" t="s">
        <v>30</v>
      </c>
      <c r="C2" s="14" t="s">
        <v>31</v>
      </c>
      <c r="D2" s="14" t="s">
        <v>32</v>
      </c>
      <c r="E2" s="14" t="s">
        <v>33</v>
      </c>
      <c r="F2" s="15">
        <v>4</v>
      </c>
      <c r="G2" s="15">
        <v>5</v>
      </c>
      <c r="H2" s="15">
        <v>5</v>
      </c>
      <c r="I2" s="16">
        <f t="shared" ref="I2:I16" si="0">ROUND(AVERAGE(F2:H2),0)</f>
        <v>5</v>
      </c>
      <c r="J2" s="16" t="str">
        <f>INDEX(Escalas!$B$10:$B$13,MATCH(I2,Escalas!$A$10:$A$13,1))</f>
        <v>Alta</v>
      </c>
    </row>
    <row r="3" spans="1:10" ht="15" customHeight="1" x14ac:dyDescent="0.25">
      <c r="A3" s="14">
        <v>2</v>
      </c>
      <c r="B3" s="14" t="s">
        <v>30</v>
      </c>
      <c r="C3" s="14" t="s">
        <v>34</v>
      </c>
      <c r="D3" s="14" t="s">
        <v>35</v>
      </c>
      <c r="E3" s="14" t="s">
        <v>36</v>
      </c>
      <c r="F3" s="15">
        <v>3</v>
      </c>
      <c r="G3" s="15">
        <v>3</v>
      </c>
      <c r="H3" s="15">
        <v>3</v>
      </c>
      <c r="I3" s="16">
        <f t="shared" si="0"/>
        <v>3</v>
      </c>
      <c r="J3" s="16" t="str">
        <f>INDEX(Escalas!$B$10:$B$13,MATCH(I3,Escalas!$A$10:$A$13,1))</f>
        <v>Media</v>
      </c>
    </row>
    <row r="4" spans="1:10" ht="15" customHeight="1" x14ac:dyDescent="0.25">
      <c r="A4" s="14">
        <v>3</v>
      </c>
      <c r="B4" s="14" t="s">
        <v>30</v>
      </c>
      <c r="C4" s="14" t="s">
        <v>37</v>
      </c>
      <c r="D4" s="14" t="s">
        <v>38</v>
      </c>
      <c r="E4" s="14" t="s">
        <v>39</v>
      </c>
      <c r="F4" s="15">
        <v>3</v>
      </c>
      <c r="G4" s="15">
        <v>3</v>
      </c>
      <c r="H4" s="15">
        <v>3</v>
      </c>
      <c r="I4" s="16">
        <f t="shared" si="0"/>
        <v>3</v>
      </c>
      <c r="J4" s="16" t="str">
        <f>INDEX(Escalas!$B$10:$B$13,MATCH(I4,Escalas!$A$10:$A$13,1))</f>
        <v>Media</v>
      </c>
    </row>
    <row r="5" spans="1:10" ht="30" customHeight="1" x14ac:dyDescent="0.25">
      <c r="A5" s="14">
        <v>4</v>
      </c>
      <c r="B5" s="14" t="s">
        <v>30</v>
      </c>
      <c r="C5" s="14" t="s">
        <v>40</v>
      </c>
      <c r="D5" s="14" t="s">
        <v>41</v>
      </c>
      <c r="E5" s="14" t="s">
        <v>42</v>
      </c>
      <c r="F5" s="15">
        <v>3</v>
      </c>
      <c r="G5" s="15">
        <v>3</v>
      </c>
      <c r="H5" s="15">
        <v>3</v>
      </c>
      <c r="I5" s="16">
        <f t="shared" si="0"/>
        <v>3</v>
      </c>
      <c r="J5" s="16" t="str">
        <f>INDEX(Escalas!$B$10:$B$13,MATCH(I5,Escalas!$A$10:$A$13,1))</f>
        <v>Media</v>
      </c>
    </row>
    <row r="6" spans="1:10" ht="15" customHeight="1" x14ac:dyDescent="0.25">
      <c r="A6" s="14">
        <v>5</v>
      </c>
      <c r="B6" s="14" t="s">
        <v>30</v>
      </c>
      <c r="C6" s="14" t="s">
        <v>31</v>
      </c>
      <c r="D6" s="14" t="s">
        <v>43</v>
      </c>
      <c r="E6" s="14" t="s">
        <v>44</v>
      </c>
      <c r="F6" s="15">
        <v>3</v>
      </c>
      <c r="G6" s="15">
        <v>3</v>
      </c>
      <c r="H6" s="15">
        <v>3</v>
      </c>
      <c r="I6" s="16">
        <f t="shared" si="0"/>
        <v>3</v>
      </c>
      <c r="J6" s="16" t="str">
        <f>INDEX(Escalas!$B$10:$B$13,MATCH(I6,Escalas!$A$10:$A$13,1))</f>
        <v>Media</v>
      </c>
    </row>
    <row r="7" spans="1:10" ht="15" customHeight="1" x14ac:dyDescent="0.25">
      <c r="A7" s="14">
        <v>6</v>
      </c>
      <c r="B7" s="14" t="s">
        <v>45</v>
      </c>
      <c r="C7" s="14" t="s">
        <v>31</v>
      </c>
      <c r="D7" s="14" t="s">
        <v>46</v>
      </c>
      <c r="E7" s="14" t="s">
        <v>33</v>
      </c>
      <c r="F7" s="15">
        <v>3</v>
      </c>
      <c r="G7" s="15">
        <v>3</v>
      </c>
      <c r="H7" s="15">
        <v>3</v>
      </c>
      <c r="I7" s="16">
        <f t="shared" si="0"/>
        <v>3</v>
      </c>
      <c r="J7" s="16" t="str">
        <f>INDEX(Escalas!$B$10:$B$13,MATCH(I7,Escalas!$A$10:$A$13,1))</f>
        <v>Media</v>
      </c>
    </row>
    <row r="8" spans="1:10" ht="15" customHeight="1" x14ac:dyDescent="0.25">
      <c r="A8" s="14">
        <v>7</v>
      </c>
      <c r="B8" s="14" t="s">
        <v>45</v>
      </c>
      <c r="C8" s="14" t="s">
        <v>34</v>
      </c>
      <c r="D8" s="14" t="s">
        <v>47</v>
      </c>
      <c r="E8" s="14" t="s">
        <v>36</v>
      </c>
      <c r="F8" s="15">
        <v>3</v>
      </c>
      <c r="G8" s="15">
        <v>3</v>
      </c>
      <c r="H8" s="15">
        <v>3</v>
      </c>
      <c r="I8" s="16">
        <f t="shared" si="0"/>
        <v>3</v>
      </c>
      <c r="J8" s="16" t="str">
        <f>INDEX(Escalas!$B$10:$B$13,MATCH(I8,Escalas!$A$10:$A$13,1))</f>
        <v>Media</v>
      </c>
    </row>
    <row r="9" spans="1:10" ht="15" customHeight="1" x14ac:dyDescent="0.25">
      <c r="A9" s="14">
        <v>8</v>
      </c>
      <c r="B9" s="14" t="s">
        <v>45</v>
      </c>
      <c r="C9" s="14" t="s">
        <v>37</v>
      </c>
      <c r="D9" s="14" t="s">
        <v>48</v>
      </c>
      <c r="E9" s="14" t="s">
        <v>39</v>
      </c>
      <c r="F9" s="15">
        <v>3</v>
      </c>
      <c r="G9" s="15">
        <v>3</v>
      </c>
      <c r="H9" s="15">
        <v>3</v>
      </c>
      <c r="I9" s="16">
        <f t="shared" si="0"/>
        <v>3</v>
      </c>
      <c r="J9" s="16" t="str">
        <f>INDEX(Escalas!$B$10:$B$13,MATCH(I9,Escalas!$A$10:$A$13,1))</f>
        <v>Media</v>
      </c>
    </row>
    <row r="10" spans="1:10" ht="30" customHeight="1" x14ac:dyDescent="0.25">
      <c r="A10" s="14">
        <v>9</v>
      </c>
      <c r="B10" s="14" t="s">
        <v>45</v>
      </c>
      <c r="C10" s="14" t="s">
        <v>40</v>
      </c>
      <c r="D10" s="14" t="s">
        <v>49</v>
      </c>
      <c r="E10" s="14" t="s">
        <v>42</v>
      </c>
      <c r="F10" s="15">
        <v>3</v>
      </c>
      <c r="G10" s="15">
        <v>3</v>
      </c>
      <c r="H10" s="15">
        <v>3</v>
      </c>
      <c r="I10" s="16">
        <f t="shared" si="0"/>
        <v>3</v>
      </c>
      <c r="J10" s="16" t="str">
        <f>INDEX(Escalas!$B$10:$B$13,MATCH(I10,Escalas!$A$10:$A$13,1))</f>
        <v>Media</v>
      </c>
    </row>
    <row r="11" spans="1:10" ht="30" customHeight="1" x14ac:dyDescent="0.25">
      <c r="A11" s="14">
        <v>10</v>
      </c>
      <c r="B11" s="14" t="s">
        <v>45</v>
      </c>
      <c r="C11" s="14" t="s">
        <v>34</v>
      </c>
      <c r="D11" s="14" t="s">
        <v>50</v>
      </c>
      <c r="E11" s="14" t="s">
        <v>44</v>
      </c>
      <c r="F11" s="15">
        <v>3</v>
      </c>
      <c r="G11" s="15">
        <v>3</v>
      </c>
      <c r="H11" s="15">
        <v>3</v>
      </c>
      <c r="I11" s="16">
        <f t="shared" si="0"/>
        <v>3</v>
      </c>
      <c r="J11" s="16" t="str">
        <f>INDEX(Escalas!$B$10:$B$13,MATCH(I11,Escalas!$A$10:$A$13,1))</f>
        <v>Media</v>
      </c>
    </row>
    <row r="12" spans="1:10" ht="30" customHeight="1" x14ac:dyDescent="0.25">
      <c r="A12" s="14">
        <v>11</v>
      </c>
      <c r="B12" s="14" t="s">
        <v>51</v>
      </c>
      <c r="C12" s="14" t="s">
        <v>31</v>
      </c>
      <c r="D12" s="14" t="s">
        <v>52</v>
      </c>
      <c r="E12" s="14" t="s">
        <v>33</v>
      </c>
      <c r="F12" s="15">
        <v>3</v>
      </c>
      <c r="G12" s="15">
        <v>3</v>
      </c>
      <c r="H12" s="15">
        <v>3</v>
      </c>
      <c r="I12" s="16">
        <f t="shared" si="0"/>
        <v>3</v>
      </c>
      <c r="J12" s="16" t="str">
        <f>INDEX(Escalas!$B$10:$B$13,MATCH(I12,Escalas!$A$10:$A$13,1))</f>
        <v>Media</v>
      </c>
    </row>
    <row r="13" spans="1:10" ht="15" customHeight="1" x14ac:dyDescent="0.25">
      <c r="A13" s="14">
        <v>12</v>
      </c>
      <c r="B13" s="14" t="s">
        <v>51</v>
      </c>
      <c r="C13" s="14" t="s">
        <v>34</v>
      </c>
      <c r="D13" s="14" t="s">
        <v>53</v>
      </c>
      <c r="E13" s="14" t="s">
        <v>36</v>
      </c>
      <c r="F13" s="15">
        <v>3</v>
      </c>
      <c r="G13" s="15">
        <v>3</v>
      </c>
      <c r="H13" s="15">
        <v>3</v>
      </c>
      <c r="I13" s="16">
        <f t="shared" si="0"/>
        <v>3</v>
      </c>
      <c r="J13" s="16" t="str">
        <f>INDEX(Escalas!$B$10:$B$13,MATCH(I13,Escalas!$A$10:$A$13,1))</f>
        <v>Media</v>
      </c>
    </row>
    <row r="14" spans="1:10" ht="15" customHeight="1" x14ac:dyDescent="0.25">
      <c r="A14" s="14">
        <v>13</v>
      </c>
      <c r="B14" s="14" t="s">
        <v>51</v>
      </c>
      <c r="C14" s="14" t="s">
        <v>37</v>
      </c>
      <c r="D14" s="14" t="s">
        <v>54</v>
      </c>
      <c r="E14" s="14" t="s">
        <v>39</v>
      </c>
      <c r="F14" s="15">
        <v>3</v>
      </c>
      <c r="G14" s="15">
        <v>3</v>
      </c>
      <c r="H14" s="15">
        <v>3</v>
      </c>
      <c r="I14" s="16">
        <f t="shared" si="0"/>
        <v>3</v>
      </c>
      <c r="J14" s="16" t="str">
        <f>INDEX(Escalas!$B$10:$B$13,MATCH(I14,Escalas!$A$10:$A$13,1))</f>
        <v>Media</v>
      </c>
    </row>
    <row r="15" spans="1:10" ht="30" customHeight="1" x14ac:dyDescent="0.25">
      <c r="A15" s="14">
        <v>14</v>
      </c>
      <c r="B15" s="14" t="s">
        <v>51</v>
      </c>
      <c r="C15" s="14" t="s">
        <v>40</v>
      </c>
      <c r="D15" s="14" t="s">
        <v>55</v>
      </c>
      <c r="E15" s="14" t="s">
        <v>42</v>
      </c>
      <c r="F15" s="15">
        <v>3</v>
      </c>
      <c r="G15" s="15">
        <v>3</v>
      </c>
      <c r="H15" s="15">
        <v>3</v>
      </c>
      <c r="I15" s="16">
        <f t="shared" si="0"/>
        <v>3</v>
      </c>
      <c r="J15" s="16" t="str">
        <f>INDEX(Escalas!$B$10:$B$13,MATCH(I15,Escalas!$A$10:$A$13,1))</f>
        <v>Media</v>
      </c>
    </row>
    <row r="16" spans="1:10" ht="15" customHeight="1" x14ac:dyDescent="0.25">
      <c r="A16" s="14">
        <v>15</v>
      </c>
      <c r="B16" s="14" t="s">
        <v>51</v>
      </c>
      <c r="C16" s="14" t="s">
        <v>34</v>
      </c>
      <c r="D16" s="14" t="s">
        <v>56</v>
      </c>
      <c r="E16" s="14" t="s">
        <v>44</v>
      </c>
      <c r="F16" s="15">
        <v>3</v>
      </c>
      <c r="G16" s="15">
        <v>3</v>
      </c>
      <c r="H16" s="15">
        <v>3</v>
      </c>
      <c r="I16" s="16">
        <f t="shared" si="0"/>
        <v>3</v>
      </c>
      <c r="J16" s="16" t="str">
        <f>INDEX(Escalas!$B$10:$B$13,MATCH(I16,Escalas!$A$10:$A$13,1))</f>
        <v>Media</v>
      </c>
    </row>
    <row r="18" spans="2:2" ht="15" customHeight="1" x14ac:dyDescent="0.25">
      <c r="B18" s="17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1"/>
  <sheetViews>
    <sheetView zoomScale="90" zoomScaleNormal="90" workbookViewId="0">
      <pane xSplit="4" ySplit="1" topLeftCell="F2" activePane="bottomRight" state="frozen"/>
      <selection pane="topRight" activeCell="E1" sqref="E1"/>
      <selection pane="bottomLeft" activeCell="A5" sqref="A5"/>
      <selection pane="bottomRight" activeCell="S8" sqref="S8"/>
    </sheetView>
  </sheetViews>
  <sheetFormatPr baseColWidth="10" defaultColWidth="8.7109375" defaultRowHeight="15" x14ac:dyDescent="0.25"/>
  <cols>
    <col min="1" max="1" width="5" customWidth="1"/>
    <col min="2" max="2" width="12" customWidth="1"/>
    <col min="3" max="3" width="14" customWidth="1"/>
    <col min="4" max="4" width="30" customWidth="1"/>
    <col min="5" max="5" width="22" customWidth="1"/>
    <col min="6" max="7" width="20" customWidth="1"/>
    <col min="8" max="9" width="10" customWidth="1"/>
    <col min="10" max="14" width="12" customWidth="1"/>
    <col min="15" max="15" width="16" customWidth="1"/>
    <col min="16" max="16" width="30" customWidth="1"/>
    <col min="17" max="17" width="13" hidden="1" customWidth="1"/>
  </cols>
  <sheetData>
    <row r="1" spans="1:17" ht="39.75" customHeight="1" x14ac:dyDescent="0.25">
      <c r="A1" s="8" t="s">
        <v>20</v>
      </c>
      <c r="B1" s="8" t="s">
        <v>21</v>
      </c>
      <c r="C1" s="8" t="s">
        <v>22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66</v>
      </c>
      <c r="M1" s="8" t="s">
        <v>67</v>
      </c>
      <c r="N1" s="8" t="s">
        <v>68</v>
      </c>
      <c r="O1" s="8" t="s">
        <v>13</v>
      </c>
      <c r="P1" s="8" t="s">
        <v>69</v>
      </c>
      <c r="Q1" s="18" t="s">
        <v>70</v>
      </c>
    </row>
    <row r="2" spans="1:17" ht="25.5" customHeight="1" x14ac:dyDescent="0.25">
      <c r="A2" s="14">
        <v>1</v>
      </c>
      <c r="B2" s="16" t="str">
        <f>Inventario_Activos!B2</f>
        <v>Producción</v>
      </c>
      <c r="C2" s="16" t="str">
        <f>Inventario_Activos!C2</f>
        <v>Hardware</v>
      </c>
      <c r="D2" s="16" t="str">
        <f>Inventario_Activos!D2</f>
        <v>Servidor de Base de Datos</v>
      </c>
      <c r="E2" s="19" t="s">
        <v>71</v>
      </c>
      <c r="F2" s="19" t="s">
        <v>72</v>
      </c>
      <c r="G2" s="19" t="s">
        <v>73</v>
      </c>
      <c r="H2" s="15">
        <v>2</v>
      </c>
      <c r="I2" s="15">
        <v>5</v>
      </c>
      <c r="J2" s="16">
        <f t="shared" ref="J2:J33" si="0">H2*I2</f>
        <v>10</v>
      </c>
      <c r="K2" s="16" t="str">
        <f>INDEX(Escalas!$F$2:$F$5,MATCH(J2,Escalas!$E$2:$E$5,1))</f>
        <v>Moderado</v>
      </c>
      <c r="L2" s="16">
        <f>INDEX(Inventario_Activos!$I$2:$I$16,MATCH(D2,Inventario_Activos!$D$2:$D$16,0))</f>
        <v>5</v>
      </c>
      <c r="M2" s="16">
        <f t="shared" ref="M2:M33" si="1">ROUND(J2*L2/5,0)</f>
        <v>10</v>
      </c>
      <c r="N2" s="16" t="str">
        <f>INDEX(Escalas!$F$2:$F$5,MATCH(M2,Escalas!$E$2:$E$5,1))</f>
        <v>Moderado</v>
      </c>
      <c r="O2" s="19" t="s">
        <v>74</v>
      </c>
      <c r="P2" s="19" t="s">
        <v>75</v>
      </c>
      <c r="Q2">
        <f t="shared" ref="Q2:Q33" si="2">J2+(152-ROW())/100000</f>
        <v>10.0015</v>
      </c>
    </row>
    <row r="3" spans="1:17" ht="51" customHeight="1" x14ac:dyDescent="0.25">
      <c r="A3" s="14">
        <v>2</v>
      </c>
      <c r="B3" s="16" t="str">
        <f>Inventario_Activos!B2</f>
        <v>Producción</v>
      </c>
      <c r="C3" s="16" t="str">
        <f>Inventario_Activos!C2</f>
        <v>Hardware</v>
      </c>
      <c r="D3" s="16" t="str">
        <f>Inventario_Activos!D2</f>
        <v>Servidor de Base de Datos</v>
      </c>
      <c r="E3" s="19" t="s">
        <v>76</v>
      </c>
      <c r="F3" s="19" t="s">
        <v>77</v>
      </c>
      <c r="G3" s="19" t="s">
        <v>78</v>
      </c>
      <c r="H3" s="15">
        <v>3</v>
      </c>
      <c r="I3" s="15">
        <v>5</v>
      </c>
      <c r="J3" s="16">
        <f t="shared" si="0"/>
        <v>15</v>
      </c>
      <c r="K3" s="16" t="str">
        <f>INDEX(Escalas!$F$2:$F$5,MATCH(J3,Escalas!$E$2:$E$5,1))</f>
        <v>Alto</v>
      </c>
      <c r="L3" s="16">
        <f>INDEX(Inventario_Activos!$I$2:$I$16,MATCH(D3,Inventario_Activos!$D$2:$D$16,0))</f>
        <v>5</v>
      </c>
      <c r="M3" s="16">
        <f t="shared" si="1"/>
        <v>15</v>
      </c>
      <c r="N3" s="16" t="str">
        <f>INDEX(Escalas!$F$2:$F$5,MATCH(M3,Escalas!$E$2:$E$5,1))</f>
        <v>Alto</v>
      </c>
      <c r="O3" s="19" t="s">
        <v>74</v>
      </c>
      <c r="P3" s="19" t="s">
        <v>79</v>
      </c>
      <c r="Q3">
        <f t="shared" si="2"/>
        <v>15.00149</v>
      </c>
    </row>
    <row r="4" spans="1:17" ht="38.25" customHeight="1" x14ac:dyDescent="0.25">
      <c r="A4" s="14">
        <v>3</v>
      </c>
      <c r="B4" s="16" t="str">
        <f>Inventario_Activos!B2</f>
        <v>Producción</v>
      </c>
      <c r="C4" s="16" t="str">
        <f>Inventario_Activos!C2</f>
        <v>Hardware</v>
      </c>
      <c r="D4" s="16" t="str">
        <f>Inventario_Activos!D2</f>
        <v>Servidor de Base de Datos</v>
      </c>
      <c r="E4" s="19" t="s">
        <v>80</v>
      </c>
      <c r="F4" s="19" t="s">
        <v>81</v>
      </c>
      <c r="G4" s="19" t="s">
        <v>82</v>
      </c>
      <c r="H4" s="15">
        <v>4</v>
      </c>
      <c r="I4" s="15">
        <v>4</v>
      </c>
      <c r="J4" s="16">
        <f t="shared" si="0"/>
        <v>16</v>
      </c>
      <c r="K4" s="16" t="str">
        <f>INDEX(Escalas!$F$2:$F$5,MATCH(J4,Escalas!$E$2:$E$5,1))</f>
        <v>Alto</v>
      </c>
      <c r="L4" s="16">
        <f>INDEX(Inventario_Activos!$I$2:$I$16,MATCH(D4,Inventario_Activos!$D$2:$D$16,0))</f>
        <v>5</v>
      </c>
      <c r="M4" s="16">
        <f t="shared" si="1"/>
        <v>16</v>
      </c>
      <c r="N4" s="16" t="str">
        <f>INDEX(Escalas!$F$2:$F$5,MATCH(M4,Escalas!$E$2:$E$5,1))</f>
        <v>Alto</v>
      </c>
      <c r="O4" s="19" t="s">
        <v>74</v>
      </c>
      <c r="P4" s="19" t="s">
        <v>83</v>
      </c>
      <c r="Q4">
        <f t="shared" si="2"/>
        <v>16.001480000000001</v>
      </c>
    </row>
    <row r="5" spans="1:17" ht="51" customHeight="1" x14ac:dyDescent="0.25">
      <c r="A5" s="14">
        <v>4</v>
      </c>
      <c r="B5" s="16" t="str">
        <f>Inventario_Activos!B2</f>
        <v>Producción</v>
      </c>
      <c r="C5" s="16" t="str">
        <f>Inventario_Activos!C2</f>
        <v>Hardware</v>
      </c>
      <c r="D5" s="16" t="str">
        <f>Inventario_Activos!D2</f>
        <v>Servidor de Base de Datos</v>
      </c>
      <c r="E5" s="19" t="s">
        <v>84</v>
      </c>
      <c r="F5" s="19" t="s">
        <v>85</v>
      </c>
      <c r="G5" s="19" t="s">
        <v>86</v>
      </c>
      <c r="H5" s="15">
        <v>3</v>
      </c>
      <c r="I5" s="15">
        <v>5</v>
      </c>
      <c r="J5" s="16">
        <f t="shared" si="0"/>
        <v>15</v>
      </c>
      <c r="K5" s="16" t="str">
        <f>INDEX(Escalas!$F$2:$F$5,MATCH(J5,Escalas!$E$2:$E$5,1))</f>
        <v>Alto</v>
      </c>
      <c r="L5" s="16">
        <f>INDEX(Inventario_Activos!$I$2:$I$16,MATCH(D5,Inventario_Activos!$D$2:$D$16,0))</f>
        <v>5</v>
      </c>
      <c r="M5" s="16">
        <f t="shared" si="1"/>
        <v>15</v>
      </c>
      <c r="N5" s="16" t="str">
        <f>INDEX(Escalas!$F$2:$F$5,MATCH(M5,Escalas!$E$2:$E$5,1))</f>
        <v>Alto</v>
      </c>
      <c r="O5" s="19" t="s">
        <v>74</v>
      </c>
      <c r="P5" s="19" t="s">
        <v>87</v>
      </c>
      <c r="Q5">
        <f t="shared" si="2"/>
        <v>15.001469999999999</v>
      </c>
    </row>
    <row r="6" spans="1:17" ht="25.5" customHeight="1" x14ac:dyDescent="0.25">
      <c r="A6" s="14">
        <v>5</v>
      </c>
      <c r="B6" s="16" t="str">
        <f>Inventario_Activos!B2</f>
        <v>Producción</v>
      </c>
      <c r="C6" s="16" t="str">
        <f>Inventario_Activos!C2</f>
        <v>Hardware</v>
      </c>
      <c r="D6" s="16" t="str">
        <f>Inventario_Activos!D2</f>
        <v>Servidor de Base de Datos</v>
      </c>
      <c r="E6" s="19" t="s">
        <v>88</v>
      </c>
      <c r="F6" s="19" t="s">
        <v>89</v>
      </c>
      <c r="G6" s="19" t="s">
        <v>90</v>
      </c>
      <c r="H6" s="15">
        <v>3</v>
      </c>
      <c r="I6" s="15">
        <v>5</v>
      </c>
      <c r="J6" s="16">
        <f t="shared" si="0"/>
        <v>15</v>
      </c>
      <c r="K6" s="16" t="str">
        <f>INDEX(Escalas!$F$2:$F$5,MATCH(J6,Escalas!$E$2:$E$5,1))</f>
        <v>Alto</v>
      </c>
      <c r="L6" s="16">
        <f>INDEX(Inventario_Activos!$I$2:$I$16,MATCH(D6,Inventario_Activos!$D$2:$D$16,0))</f>
        <v>5</v>
      </c>
      <c r="M6" s="16">
        <f t="shared" si="1"/>
        <v>15</v>
      </c>
      <c r="N6" s="16" t="str">
        <f>INDEX(Escalas!$F$2:$F$5,MATCH(M6,Escalas!$E$2:$E$5,1))</f>
        <v>Alto</v>
      </c>
      <c r="O6" s="19" t="s">
        <v>74</v>
      </c>
      <c r="P6" s="19" t="s">
        <v>91</v>
      </c>
      <c r="Q6">
        <f t="shared" si="2"/>
        <v>15.00146</v>
      </c>
    </row>
    <row r="7" spans="1:17" ht="38.25" customHeight="1" x14ac:dyDescent="0.25">
      <c r="A7" s="14">
        <v>6</v>
      </c>
      <c r="B7" s="16" t="str">
        <f>Inventario_Activos!B2</f>
        <v>Producción</v>
      </c>
      <c r="C7" s="16" t="str">
        <f>Inventario_Activos!C2</f>
        <v>Hardware</v>
      </c>
      <c r="D7" s="16" t="str">
        <f>Inventario_Activos!D2</f>
        <v>Servidor de Base de Datos</v>
      </c>
      <c r="E7" s="19" t="s">
        <v>92</v>
      </c>
      <c r="F7" s="19" t="s">
        <v>93</v>
      </c>
      <c r="G7" s="19" t="s">
        <v>94</v>
      </c>
      <c r="H7" s="15">
        <v>3</v>
      </c>
      <c r="I7" s="15">
        <v>4</v>
      </c>
      <c r="J7" s="16">
        <f t="shared" si="0"/>
        <v>12</v>
      </c>
      <c r="K7" s="16" t="str">
        <f>INDEX(Escalas!$F$2:$F$5,MATCH(J7,Escalas!$E$2:$E$5,1))</f>
        <v>Alto</v>
      </c>
      <c r="L7" s="16">
        <f>INDEX(Inventario_Activos!$I$2:$I$16,MATCH(D7,Inventario_Activos!$D$2:$D$16,0))</f>
        <v>5</v>
      </c>
      <c r="M7" s="16">
        <f t="shared" si="1"/>
        <v>12</v>
      </c>
      <c r="N7" s="16" t="str">
        <f>INDEX(Escalas!$F$2:$F$5,MATCH(M7,Escalas!$E$2:$E$5,1))</f>
        <v>Alto</v>
      </c>
      <c r="O7" s="19" t="s">
        <v>74</v>
      </c>
      <c r="P7" s="19" t="s">
        <v>95</v>
      </c>
      <c r="Q7">
        <f t="shared" si="2"/>
        <v>12.00145</v>
      </c>
    </row>
    <row r="8" spans="1:17" ht="25.5" customHeight="1" x14ac:dyDescent="0.25">
      <c r="A8" s="14">
        <v>7</v>
      </c>
      <c r="B8" s="16" t="str">
        <f>Inventario_Activos!B2</f>
        <v>Producción</v>
      </c>
      <c r="C8" s="16" t="str">
        <f>Inventario_Activos!C2</f>
        <v>Hardware</v>
      </c>
      <c r="D8" s="16" t="str">
        <f>Inventario_Activos!D2</f>
        <v>Servidor de Base de Datos</v>
      </c>
      <c r="E8" s="19" t="s">
        <v>96</v>
      </c>
      <c r="F8" s="19" t="s">
        <v>97</v>
      </c>
      <c r="G8" s="19" t="s">
        <v>98</v>
      </c>
      <c r="H8" s="15">
        <v>3</v>
      </c>
      <c r="I8" s="15">
        <v>3</v>
      </c>
      <c r="J8" s="16">
        <f t="shared" si="0"/>
        <v>9</v>
      </c>
      <c r="K8" s="16" t="str">
        <f>INDEX(Escalas!$F$2:$F$5,MATCH(J8,Escalas!$E$2:$E$5,1))</f>
        <v>Moderado</v>
      </c>
      <c r="L8" s="16">
        <f>INDEX(Inventario_Activos!$I$2:$I$16,MATCH(D8,Inventario_Activos!$D$2:$D$16,0))</f>
        <v>5</v>
      </c>
      <c r="M8" s="16">
        <f t="shared" si="1"/>
        <v>9</v>
      </c>
      <c r="N8" s="16" t="str">
        <f>INDEX(Escalas!$F$2:$F$5,MATCH(M8,Escalas!$E$2:$E$5,1))</f>
        <v>Moderado</v>
      </c>
      <c r="O8" s="19" t="s">
        <v>74</v>
      </c>
      <c r="P8" s="19" t="s">
        <v>99</v>
      </c>
      <c r="Q8">
        <f t="shared" si="2"/>
        <v>9.0014400000000006</v>
      </c>
    </row>
    <row r="9" spans="1:17" ht="38.25" customHeight="1" x14ac:dyDescent="0.25">
      <c r="A9" s="14">
        <v>8</v>
      </c>
      <c r="B9" s="16" t="str">
        <f>Inventario_Activos!B2</f>
        <v>Producción</v>
      </c>
      <c r="C9" s="16" t="str">
        <f>Inventario_Activos!C2</f>
        <v>Hardware</v>
      </c>
      <c r="D9" s="16" t="str">
        <f>Inventario_Activos!D2</f>
        <v>Servidor de Base de Datos</v>
      </c>
      <c r="E9" s="19" t="s">
        <v>100</v>
      </c>
      <c r="F9" s="19" t="s">
        <v>101</v>
      </c>
      <c r="G9" s="19" t="s">
        <v>102</v>
      </c>
      <c r="H9" s="15">
        <v>2</v>
      </c>
      <c r="I9" s="15">
        <v>5</v>
      </c>
      <c r="J9" s="16">
        <f t="shared" si="0"/>
        <v>10</v>
      </c>
      <c r="K9" s="16" t="str">
        <f>INDEX(Escalas!$F$2:$F$5,MATCH(J9,Escalas!$E$2:$E$5,1))</f>
        <v>Moderado</v>
      </c>
      <c r="L9" s="16">
        <f>INDEX(Inventario_Activos!$I$2:$I$16,MATCH(D9,Inventario_Activos!$D$2:$D$16,0))</f>
        <v>5</v>
      </c>
      <c r="M9" s="16">
        <f t="shared" si="1"/>
        <v>10</v>
      </c>
      <c r="N9" s="16" t="str">
        <f>INDEX(Escalas!$F$2:$F$5,MATCH(M9,Escalas!$E$2:$E$5,1))</f>
        <v>Moderado</v>
      </c>
      <c r="O9" s="19" t="s">
        <v>74</v>
      </c>
      <c r="P9" s="19" t="s">
        <v>103</v>
      </c>
      <c r="Q9">
        <f t="shared" si="2"/>
        <v>10.001429999999999</v>
      </c>
    </row>
    <row r="10" spans="1:17" ht="25.5" customHeight="1" x14ac:dyDescent="0.25">
      <c r="A10" s="14">
        <v>9</v>
      </c>
      <c r="B10" s="16" t="str">
        <f>Inventario_Activos!B2</f>
        <v>Producción</v>
      </c>
      <c r="C10" s="16" t="str">
        <f>Inventario_Activos!C2</f>
        <v>Hardware</v>
      </c>
      <c r="D10" s="16" t="str">
        <f>Inventario_Activos!D2</f>
        <v>Servidor de Base de Datos</v>
      </c>
      <c r="E10" s="19" t="s">
        <v>104</v>
      </c>
      <c r="F10" s="19" t="s">
        <v>105</v>
      </c>
      <c r="G10" s="19" t="s">
        <v>106</v>
      </c>
      <c r="H10" s="15">
        <v>3</v>
      </c>
      <c r="I10" s="15">
        <v>4</v>
      </c>
      <c r="J10" s="16">
        <f t="shared" si="0"/>
        <v>12</v>
      </c>
      <c r="K10" s="16" t="str">
        <f>INDEX(Escalas!$F$2:$F$5,MATCH(J10,Escalas!$E$2:$E$5,1))</f>
        <v>Alto</v>
      </c>
      <c r="L10" s="16">
        <f>INDEX(Inventario_Activos!$I$2:$I$16,MATCH(D10,Inventario_Activos!$D$2:$D$16,0))</f>
        <v>5</v>
      </c>
      <c r="M10" s="16">
        <f t="shared" si="1"/>
        <v>12</v>
      </c>
      <c r="N10" s="16" t="str">
        <f>INDEX(Escalas!$F$2:$F$5,MATCH(M10,Escalas!$E$2:$E$5,1))</f>
        <v>Alto</v>
      </c>
      <c r="O10" s="19" t="s">
        <v>74</v>
      </c>
      <c r="P10" s="19" t="s">
        <v>107</v>
      </c>
      <c r="Q10">
        <f t="shared" si="2"/>
        <v>12.00142</v>
      </c>
    </row>
    <row r="11" spans="1:17" ht="38.25" customHeight="1" x14ac:dyDescent="0.25">
      <c r="A11" s="14">
        <v>10</v>
      </c>
      <c r="B11" s="16" t="str">
        <f>Inventario_Activos!B2</f>
        <v>Producción</v>
      </c>
      <c r="C11" s="16" t="str">
        <f>Inventario_Activos!C2</f>
        <v>Hardware</v>
      </c>
      <c r="D11" s="16" t="str">
        <f>Inventario_Activos!D2</f>
        <v>Servidor de Base de Datos</v>
      </c>
      <c r="E11" s="19" t="s">
        <v>108</v>
      </c>
      <c r="F11" s="19" t="s">
        <v>109</v>
      </c>
      <c r="G11" s="19" t="s">
        <v>110</v>
      </c>
      <c r="H11" s="15">
        <v>4</v>
      </c>
      <c r="I11" s="15">
        <v>4</v>
      </c>
      <c r="J11" s="16">
        <f t="shared" si="0"/>
        <v>16</v>
      </c>
      <c r="K11" s="16" t="str">
        <f>INDEX(Escalas!$F$2:$F$5,MATCH(J11,Escalas!$E$2:$E$5,1))</f>
        <v>Alto</v>
      </c>
      <c r="L11" s="16">
        <f>INDEX(Inventario_Activos!$I$2:$I$16,MATCH(D11,Inventario_Activos!$D$2:$D$16,0))</f>
        <v>5</v>
      </c>
      <c r="M11" s="16">
        <f t="shared" si="1"/>
        <v>16</v>
      </c>
      <c r="N11" s="16" t="str">
        <f>INDEX(Escalas!$F$2:$F$5,MATCH(M11,Escalas!$E$2:$E$5,1))</f>
        <v>Alto</v>
      </c>
      <c r="O11" s="19" t="s">
        <v>74</v>
      </c>
      <c r="P11" s="19" t="s">
        <v>111</v>
      </c>
      <c r="Q11">
        <f t="shared" si="2"/>
        <v>16.00141</v>
      </c>
    </row>
    <row r="12" spans="1:17" ht="34.5" customHeight="1" x14ac:dyDescent="0.25">
      <c r="A12" s="14">
        <v>11</v>
      </c>
      <c r="B12" s="16" t="str">
        <f>Inventario_Activos!B3</f>
        <v>Producción</v>
      </c>
      <c r="C12" s="16" t="str">
        <f>Inventario_Activos!C3</f>
        <v>Software</v>
      </c>
      <c r="D12" s="16" t="str">
        <f>Inventario_Activos!D3</f>
        <v>Sistema ERP / Facturación</v>
      </c>
      <c r="E12" s="19" t="s">
        <v>71</v>
      </c>
      <c r="F12" s="19" t="s">
        <v>112</v>
      </c>
      <c r="G12" s="19" t="s">
        <v>113</v>
      </c>
      <c r="H12" s="15">
        <v>2</v>
      </c>
      <c r="I12" s="15">
        <v>4</v>
      </c>
      <c r="J12" s="16">
        <f t="shared" si="0"/>
        <v>8</v>
      </c>
      <c r="K12" s="16" t="str">
        <f>INDEX(Escalas!$F$2:$F$5,MATCH(J12,Escalas!$E$2:$E$5,1))</f>
        <v>Moderado</v>
      </c>
      <c r="L12" s="16">
        <f>INDEX(Inventario_Activos!$I$2:$I$16,MATCH(D12,Inventario_Activos!$D$2:$D$16,0))</f>
        <v>3</v>
      </c>
      <c r="M12" s="16">
        <f t="shared" si="1"/>
        <v>5</v>
      </c>
      <c r="N12" s="16" t="str">
        <f>INDEX(Escalas!$F$2:$F$5,MATCH(M12,Escalas!$E$2:$E$5,1))</f>
        <v>Bajo</v>
      </c>
      <c r="O12" s="19" t="s">
        <v>74</v>
      </c>
      <c r="P12" s="19" t="s">
        <v>114</v>
      </c>
      <c r="Q12">
        <f t="shared" si="2"/>
        <v>8.0014000000000003</v>
      </c>
    </row>
    <row r="13" spans="1:17" ht="34.5" customHeight="1" x14ac:dyDescent="0.25">
      <c r="A13" s="14">
        <v>12</v>
      </c>
      <c r="B13" s="16" t="str">
        <f>Inventario_Activos!B3</f>
        <v>Producción</v>
      </c>
      <c r="C13" s="16" t="str">
        <f>Inventario_Activos!C3</f>
        <v>Software</v>
      </c>
      <c r="D13" s="16" t="str">
        <f>Inventario_Activos!D3</f>
        <v>Sistema ERP / Facturación</v>
      </c>
      <c r="E13" s="19" t="s">
        <v>76</v>
      </c>
      <c r="F13" s="19" t="s">
        <v>115</v>
      </c>
      <c r="G13" s="19" t="s">
        <v>116</v>
      </c>
      <c r="H13" s="15">
        <v>3</v>
      </c>
      <c r="I13" s="15">
        <v>4</v>
      </c>
      <c r="J13" s="16">
        <f t="shared" si="0"/>
        <v>12</v>
      </c>
      <c r="K13" s="16" t="str">
        <f>INDEX(Escalas!$F$2:$F$5,MATCH(J13,Escalas!$E$2:$E$5,1))</f>
        <v>Alto</v>
      </c>
      <c r="L13" s="16">
        <f>INDEX(Inventario_Activos!$I$2:$I$16,MATCH(D13,Inventario_Activos!$D$2:$D$16,0))</f>
        <v>3</v>
      </c>
      <c r="M13" s="16">
        <f t="shared" si="1"/>
        <v>7</v>
      </c>
      <c r="N13" s="16" t="str">
        <f>INDEX(Escalas!$F$2:$F$5,MATCH(M13,Escalas!$E$2:$E$5,1))</f>
        <v>Moderado</v>
      </c>
      <c r="O13" s="19" t="s">
        <v>74</v>
      </c>
      <c r="P13" s="19" t="s">
        <v>117</v>
      </c>
      <c r="Q13">
        <f t="shared" si="2"/>
        <v>12.001390000000001</v>
      </c>
    </row>
    <row r="14" spans="1:17" ht="45.75" customHeight="1" x14ac:dyDescent="0.25">
      <c r="A14" s="14">
        <v>13</v>
      </c>
      <c r="B14" s="16" t="str">
        <f>Inventario_Activos!B3</f>
        <v>Producción</v>
      </c>
      <c r="C14" s="16" t="str">
        <f>Inventario_Activos!C3</f>
        <v>Software</v>
      </c>
      <c r="D14" s="16" t="str">
        <f>Inventario_Activos!D3</f>
        <v>Sistema ERP / Facturación</v>
      </c>
      <c r="E14" s="19" t="s">
        <v>80</v>
      </c>
      <c r="F14" s="19" t="s">
        <v>118</v>
      </c>
      <c r="G14" s="19" t="s">
        <v>119</v>
      </c>
      <c r="H14" s="15">
        <v>3</v>
      </c>
      <c r="I14" s="15">
        <v>4</v>
      </c>
      <c r="J14" s="16">
        <f t="shared" si="0"/>
        <v>12</v>
      </c>
      <c r="K14" s="16" t="str">
        <f>INDEX(Escalas!$F$2:$F$5,MATCH(J14,Escalas!$E$2:$E$5,1))</f>
        <v>Alto</v>
      </c>
      <c r="L14" s="16">
        <f>INDEX(Inventario_Activos!$I$2:$I$16,MATCH(D14,Inventario_Activos!$D$2:$D$16,0))</f>
        <v>3</v>
      </c>
      <c r="M14" s="16">
        <f t="shared" si="1"/>
        <v>7</v>
      </c>
      <c r="N14" s="16" t="str">
        <f>INDEX(Escalas!$F$2:$F$5,MATCH(M14,Escalas!$E$2:$E$5,1))</f>
        <v>Moderado</v>
      </c>
      <c r="O14" s="19" t="s">
        <v>74</v>
      </c>
      <c r="P14" s="19" t="s">
        <v>120</v>
      </c>
      <c r="Q14">
        <f t="shared" si="2"/>
        <v>12.001379999999999</v>
      </c>
    </row>
    <row r="15" spans="1:17" ht="34.5" customHeight="1" x14ac:dyDescent="0.25">
      <c r="A15" s="14">
        <v>14</v>
      </c>
      <c r="B15" s="16" t="str">
        <f>Inventario_Activos!B3</f>
        <v>Producción</v>
      </c>
      <c r="C15" s="16" t="str">
        <f>Inventario_Activos!C3</f>
        <v>Software</v>
      </c>
      <c r="D15" s="16" t="str">
        <f>Inventario_Activos!D3</f>
        <v>Sistema ERP / Facturación</v>
      </c>
      <c r="E15" s="19" t="s">
        <v>84</v>
      </c>
      <c r="F15" s="19" t="s">
        <v>121</v>
      </c>
      <c r="G15" s="19" t="s">
        <v>122</v>
      </c>
      <c r="H15" s="15">
        <v>3</v>
      </c>
      <c r="I15" s="15">
        <v>5</v>
      </c>
      <c r="J15" s="16">
        <f t="shared" si="0"/>
        <v>15</v>
      </c>
      <c r="K15" s="16" t="str">
        <f>INDEX(Escalas!$F$2:$F$5,MATCH(J15,Escalas!$E$2:$E$5,1))</f>
        <v>Alto</v>
      </c>
      <c r="L15" s="16">
        <f>INDEX(Inventario_Activos!$I$2:$I$16,MATCH(D15,Inventario_Activos!$D$2:$D$16,0))</f>
        <v>3</v>
      </c>
      <c r="M15" s="16">
        <f t="shared" si="1"/>
        <v>9</v>
      </c>
      <c r="N15" s="16" t="str">
        <f>INDEX(Escalas!$F$2:$F$5,MATCH(M15,Escalas!$E$2:$E$5,1))</f>
        <v>Moderado</v>
      </c>
      <c r="O15" s="19" t="s">
        <v>74</v>
      </c>
      <c r="P15" s="19" t="s">
        <v>123</v>
      </c>
      <c r="Q15">
        <f t="shared" si="2"/>
        <v>15.00137</v>
      </c>
    </row>
    <row r="16" spans="1:17" ht="34.5" customHeight="1" x14ac:dyDescent="0.25">
      <c r="A16" s="14">
        <v>15</v>
      </c>
      <c r="B16" s="16" t="str">
        <f>Inventario_Activos!B3</f>
        <v>Producción</v>
      </c>
      <c r="C16" s="16" t="str">
        <f>Inventario_Activos!C3</f>
        <v>Software</v>
      </c>
      <c r="D16" s="16" t="str">
        <f>Inventario_Activos!D3</f>
        <v>Sistema ERP / Facturación</v>
      </c>
      <c r="E16" s="19" t="s">
        <v>88</v>
      </c>
      <c r="F16" s="19" t="s">
        <v>124</v>
      </c>
      <c r="G16" s="19" t="s">
        <v>125</v>
      </c>
      <c r="H16" s="15">
        <v>2</v>
      </c>
      <c r="I16" s="15">
        <v>5</v>
      </c>
      <c r="J16" s="16">
        <f t="shared" si="0"/>
        <v>10</v>
      </c>
      <c r="K16" s="16" t="str">
        <f>INDEX(Escalas!$F$2:$F$5,MATCH(J16,Escalas!$E$2:$E$5,1))</f>
        <v>Moderado</v>
      </c>
      <c r="L16" s="16">
        <f>INDEX(Inventario_Activos!$I$2:$I$16,MATCH(D16,Inventario_Activos!$D$2:$D$16,0))</f>
        <v>3</v>
      </c>
      <c r="M16" s="16">
        <f t="shared" si="1"/>
        <v>6</v>
      </c>
      <c r="N16" s="16" t="str">
        <f>INDEX(Escalas!$F$2:$F$5,MATCH(M16,Escalas!$E$2:$E$5,1))</f>
        <v>Moderado</v>
      </c>
      <c r="O16" s="19" t="s">
        <v>74</v>
      </c>
      <c r="P16" s="19" t="s">
        <v>126</v>
      </c>
      <c r="Q16">
        <f t="shared" si="2"/>
        <v>10.00136</v>
      </c>
    </row>
    <row r="17" spans="1:17" ht="45.75" customHeight="1" x14ac:dyDescent="0.25">
      <c r="A17" s="14">
        <v>16</v>
      </c>
      <c r="B17" s="16" t="str">
        <f>Inventario_Activos!B3</f>
        <v>Producción</v>
      </c>
      <c r="C17" s="16" t="str">
        <f>Inventario_Activos!C3</f>
        <v>Software</v>
      </c>
      <c r="D17" s="16" t="str">
        <f>Inventario_Activos!D3</f>
        <v>Sistema ERP / Facturación</v>
      </c>
      <c r="E17" s="19" t="s">
        <v>92</v>
      </c>
      <c r="F17" s="19" t="s">
        <v>127</v>
      </c>
      <c r="G17" s="19" t="s">
        <v>128</v>
      </c>
      <c r="H17" s="15">
        <v>3</v>
      </c>
      <c r="I17" s="15">
        <v>5</v>
      </c>
      <c r="J17" s="16">
        <f t="shared" si="0"/>
        <v>15</v>
      </c>
      <c r="K17" s="16" t="str">
        <f>INDEX(Escalas!$F$2:$F$5,MATCH(J17,Escalas!$E$2:$E$5,1))</f>
        <v>Alto</v>
      </c>
      <c r="L17" s="16">
        <f>INDEX(Inventario_Activos!$I$2:$I$16,MATCH(D17,Inventario_Activos!$D$2:$D$16,0))</f>
        <v>3</v>
      </c>
      <c r="M17" s="16">
        <f t="shared" si="1"/>
        <v>9</v>
      </c>
      <c r="N17" s="16" t="str">
        <f>INDEX(Escalas!$F$2:$F$5,MATCH(M17,Escalas!$E$2:$E$5,1))</f>
        <v>Moderado</v>
      </c>
      <c r="O17" s="19" t="s">
        <v>74</v>
      </c>
      <c r="P17" s="19" t="s">
        <v>129</v>
      </c>
      <c r="Q17">
        <f t="shared" si="2"/>
        <v>15.00135</v>
      </c>
    </row>
    <row r="18" spans="1:17" ht="34.5" customHeight="1" x14ac:dyDescent="0.25">
      <c r="A18" s="14">
        <v>17</v>
      </c>
      <c r="B18" s="16" t="str">
        <f>Inventario_Activos!B3</f>
        <v>Producción</v>
      </c>
      <c r="C18" s="16" t="str">
        <f>Inventario_Activos!C3</f>
        <v>Software</v>
      </c>
      <c r="D18" s="16" t="str">
        <f>Inventario_Activos!D3</f>
        <v>Sistema ERP / Facturación</v>
      </c>
      <c r="E18" s="19" t="s">
        <v>96</v>
      </c>
      <c r="F18" s="19" t="s">
        <v>130</v>
      </c>
      <c r="G18" s="19" t="s">
        <v>131</v>
      </c>
      <c r="H18" s="15">
        <v>3</v>
      </c>
      <c r="I18" s="15">
        <v>4</v>
      </c>
      <c r="J18" s="16">
        <f t="shared" si="0"/>
        <v>12</v>
      </c>
      <c r="K18" s="16" t="str">
        <f>INDEX(Escalas!$F$2:$F$5,MATCH(J18,Escalas!$E$2:$E$5,1))</f>
        <v>Alto</v>
      </c>
      <c r="L18" s="16">
        <f>INDEX(Inventario_Activos!$I$2:$I$16,MATCH(D18,Inventario_Activos!$D$2:$D$16,0))</f>
        <v>3</v>
      </c>
      <c r="M18" s="16">
        <f t="shared" si="1"/>
        <v>7</v>
      </c>
      <c r="N18" s="16" t="str">
        <f>INDEX(Escalas!$F$2:$F$5,MATCH(M18,Escalas!$E$2:$E$5,1))</f>
        <v>Moderado</v>
      </c>
      <c r="O18" s="19" t="s">
        <v>74</v>
      </c>
      <c r="P18" s="19" t="s">
        <v>132</v>
      </c>
      <c r="Q18">
        <f t="shared" si="2"/>
        <v>12.001340000000001</v>
      </c>
    </row>
    <row r="19" spans="1:17" ht="34.5" customHeight="1" x14ac:dyDescent="0.25">
      <c r="A19" s="14">
        <v>18</v>
      </c>
      <c r="B19" s="16" t="str">
        <f>Inventario_Activos!B3</f>
        <v>Producción</v>
      </c>
      <c r="C19" s="16" t="str">
        <f>Inventario_Activos!C3</f>
        <v>Software</v>
      </c>
      <c r="D19" s="16" t="str">
        <f>Inventario_Activos!D3</f>
        <v>Sistema ERP / Facturación</v>
      </c>
      <c r="E19" s="19" t="s">
        <v>100</v>
      </c>
      <c r="F19" s="19" t="s">
        <v>133</v>
      </c>
      <c r="G19" s="19" t="s">
        <v>134</v>
      </c>
      <c r="H19" s="15">
        <v>2</v>
      </c>
      <c r="I19" s="15">
        <v>5</v>
      </c>
      <c r="J19" s="16">
        <f t="shared" si="0"/>
        <v>10</v>
      </c>
      <c r="K19" s="16" t="str">
        <f>INDEX(Escalas!$F$2:$F$5,MATCH(J19,Escalas!$E$2:$E$5,1))</f>
        <v>Moderado</v>
      </c>
      <c r="L19" s="16">
        <f>INDEX(Inventario_Activos!$I$2:$I$16,MATCH(D19,Inventario_Activos!$D$2:$D$16,0))</f>
        <v>3</v>
      </c>
      <c r="M19" s="16">
        <f t="shared" si="1"/>
        <v>6</v>
      </c>
      <c r="N19" s="16" t="str">
        <f>INDEX(Escalas!$F$2:$F$5,MATCH(M19,Escalas!$E$2:$E$5,1))</f>
        <v>Moderado</v>
      </c>
      <c r="O19" s="19" t="s">
        <v>74</v>
      </c>
      <c r="P19" s="19" t="s">
        <v>135</v>
      </c>
      <c r="Q19">
        <f t="shared" si="2"/>
        <v>10.001329999999999</v>
      </c>
    </row>
    <row r="20" spans="1:17" ht="34.5" customHeight="1" x14ac:dyDescent="0.25">
      <c r="A20" s="14">
        <v>19</v>
      </c>
      <c r="B20" s="16" t="str">
        <f>Inventario_Activos!B3</f>
        <v>Producción</v>
      </c>
      <c r="C20" s="16" t="str">
        <f>Inventario_Activos!C3</f>
        <v>Software</v>
      </c>
      <c r="D20" s="16" t="str">
        <f>Inventario_Activos!D3</f>
        <v>Sistema ERP / Facturación</v>
      </c>
      <c r="E20" s="19" t="s">
        <v>104</v>
      </c>
      <c r="F20" s="19" t="s">
        <v>136</v>
      </c>
      <c r="G20" s="19" t="s">
        <v>137</v>
      </c>
      <c r="H20" s="15">
        <v>3</v>
      </c>
      <c r="I20" s="15">
        <v>4</v>
      </c>
      <c r="J20" s="16">
        <f t="shared" si="0"/>
        <v>12</v>
      </c>
      <c r="K20" s="16" t="str">
        <f>INDEX(Escalas!$F$2:$F$5,MATCH(J20,Escalas!$E$2:$E$5,1))</f>
        <v>Alto</v>
      </c>
      <c r="L20" s="16">
        <f>INDEX(Inventario_Activos!$I$2:$I$16,MATCH(D20,Inventario_Activos!$D$2:$D$16,0))</f>
        <v>3</v>
      </c>
      <c r="M20" s="16">
        <f t="shared" si="1"/>
        <v>7</v>
      </c>
      <c r="N20" s="16" t="str">
        <f>INDEX(Escalas!$F$2:$F$5,MATCH(M20,Escalas!$E$2:$E$5,1))</f>
        <v>Moderado</v>
      </c>
      <c r="O20" s="19" t="s">
        <v>74</v>
      </c>
      <c r="P20" s="19" t="s">
        <v>138</v>
      </c>
      <c r="Q20">
        <f t="shared" si="2"/>
        <v>12.00132</v>
      </c>
    </row>
    <row r="21" spans="1:17" ht="34.5" customHeight="1" x14ac:dyDescent="0.25">
      <c r="A21" s="14">
        <v>20</v>
      </c>
      <c r="B21" s="16" t="str">
        <f>Inventario_Activos!B3</f>
        <v>Producción</v>
      </c>
      <c r="C21" s="16" t="str">
        <f>Inventario_Activos!C3</f>
        <v>Software</v>
      </c>
      <c r="D21" s="16" t="str">
        <f>Inventario_Activos!D3</f>
        <v>Sistema ERP / Facturación</v>
      </c>
      <c r="E21" s="19" t="s">
        <v>108</v>
      </c>
      <c r="F21" s="19" t="s">
        <v>139</v>
      </c>
      <c r="G21" s="19" t="s">
        <v>140</v>
      </c>
      <c r="H21" s="15">
        <v>3</v>
      </c>
      <c r="I21" s="15">
        <v>3</v>
      </c>
      <c r="J21" s="16">
        <f t="shared" si="0"/>
        <v>9</v>
      </c>
      <c r="K21" s="16" t="str">
        <f>INDEX(Escalas!$F$2:$F$5,MATCH(J21,Escalas!$E$2:$E$5,1))</f>
        <v>Moderado</v>
      </c>
      <c r="L21" s="16">
        <f>INDEX(Inventario_Activos!$I$2:$I$16,MATCH(D21,Inventario_Activos!$D$2:$D$16,0))</f>
        <v>3</v>
      </c>
      <c r="M21" s="16">
        <f t="shared" si="1"/>
        <v>5</v>
      </c>
      <c r="N21" s="16" t="str">
        <f>INDEX(Escalas!$F$2:$F$5,MATCH(M21,Escalas!$E$2:$E$5,1))</f>
        <v>Bajo</v>
      </c>
      <c r="O21" s="19" t="s">
        <v>74</v>
      </c>
      <c r="P21" s="19" t="s">
        <v>141</v>
      </c>
      <c r="Q21">
        <f t="shared" si="2"/>
        <v>9.0013100000000001</v>
      </c>
    </row>
    <row r="22" spans="1:17" ht="45.75" customHeight="1" x14ac:dyDescent="0.25">
      <c r="A22" s="14">
        <v>21</v>
      </c>
      <c r="B22" s="16" t="str">
        <f>Inventario_Activos!B4</f>
        <v>Producción</v>
      </c>
      <c r="C22" s="16" t="str">
        <f>Inventario_Activos!C4</f>
        <v>Datos</v>
      </c>
      <c r="D22" s="16" t="str">
        <f>Inventario_Activos!D4</f>
        <v>Datos de clientes</v>
      </c>
      <c r="E22" s="19" t="s">
        <v>71</v>
      </c>
      <c r="F22" s="19" t="s">
        <v>142</v>
      </c>
      <c r="G22" s="19" t="s">
        <v>143</v>
      </c>
      <c r="H22" s="15">
        <v>2</v>
      </c>
      <c r="I22" s="15">
        <v>5</v>
      </c>
      <c r="J22" s="16">
        <f t="shared" si="0"/>
        <v>10</v>
      </c>
      <c r="K22" s="16" t="str">
        <f>INDEX(Escalas!$F$2:$F$5,MATCH(J22,Escalas!$E$2:$E$5,1))</f>
        <v>Moderado</v>
      </c>
      <c r="L22" s="16">
        <f>INDEX(Inventario_Activos!$I$2:$I$16,MATCH(D22,Inventario_Activos!$D$2:$D$16,0))</f>
        <v>3</v>
      </c>
      <c r="M22" s="16">
        <f t="shared" si="1"/>
        <v>6</v>
      </c>
      <c r="N22" s="16" t="str">
        <f>INDEX(Escalas!$F$2:$F$5,MATCH(M22,Escalas!$E$2:$E$5,1))</f>
        <v>Moderado</v>
      </c>
      <c r="O22" s="19" t="s">
        <v>74</v>
      </c>
      <c r="P22" s="19" t="s">
        <v>144</v>
      </c>
      <c r="Q22">
        <f t="shared" si="2"/>
        <v>10.001300000000001</v>
      </c>
    </row>
    <row r="23" spans="1:17" ht="34.5" customHeight="1" x14ac:dyDescent="0.25">
      <c r="A23" s="14">
        <v>22</v>
      </c>
      <c r="B23" s="16" t="str">
        <f>Inventario_Activos!B4</f>
        <v>Producción</v>
      </c>
      <c r="C23" s="16" t="str">
        <f>Inventario_Activos!C4</f>
        <v>Datos</v>
      </c>
      <c r="D23" s="16" t="str">
        <f>Inventario_Activos!D4</f>
        <v>Datos de clientes</v>
      </c>
      <c r="E23" s="19" t="s">
        <v>76</v>
      </c>
      <c r="F23" s="19" t="s">
        <v>145</v>
      </c>
      <c r="G23" s="19" t="s">
        <v>146</v>
      </c>
      <c r="H23" s="15">
        <v>3</v>
      </c>
      <c r="I23" s="15">
        <v>5</v>
      </c>
      <c r="J23" s="16">
        <f t="shared" si="0"/>
        <v>15</v>
      </c>
      <c r="K23" s="16" t="str">
        <f>INDEX(Escalas!$F$2:$F$5,MATCH(J23,Escalas!$E$2:$E$5,1))</f>
        <v>Alto</v>
      </c>
      <c r="L23" s="16">
        <f>INDEX(Inventario_Activos!$I$2:$I$16,MATCH(D23,Inventario_Activos!$D$2:$D$16,0))</f>
        <v>3</v>
      </c>
      <c r="M23" s="16">
        <f t="shared" si="1"/>
        <v>9</v>
      </c>
      <c r="N23" s="16" t="str">
        <f>INDEX(Escalas!$F$2:$F$5,MATCH(M23,Escalas!$E$2:$E$5,1))</f>
        <v>Moderado</v>
      </c>
      <c r="O23" s="19" t="s">
        <v>74</v>
      </c>
      <c r="P23" s="19" t="s">
        <v>147</v>
      </c>
      <c r="Q23">
        <f t="shared" si="2"/>
        <v>15.001289999999999</v>
      </c>
    </row>
    <row r="24" spans="1:17" ht="34.5" customHeight="1" x14ac:dyDescent="0.25">
      <c r="A24" s="14">
        <v>23</v>
      </c>
      <c r="B24" s="16" t="str">
        <f>Inventario_Activos!B4</f>
        <v>Producción</v>
      </c>
      <c r="C24" s="16" t="str">
        <f>Inventario_Activos!C4</f>
        <v>Datos</v>
      </c>
      <c r="D24" s="16" t="str">
        <f>Inventario_Activos!D4</f>
        <v>Datos de clientes</v>
      </c>
      <c r="E24" s="19" t="s">
        <v>80</v>
      </c>
      <c r="F24" s="19" t="s">
        <v>148</v>
      </c>
      <c r="G24" s="19" t="s">
        <v>149</v>
      </c>
      <c r="H24" s="15">
        <v>3</v>
      </c>
      <c r="I24" s="15">
        <v>5</v>
      </c>
      <c r="J24" s="16">
        <f t="shared" si="0"/>
        <v>15</v>
      </c>
      <c r="K24" s="16" t="str">
        <f>INDEX(Escalas!$F$2:$F$5,MATCH(J24,Escalas!$E$2:$E$5,1))</f>
        <v>Alto</v>
      </c>
      <c r="L24" s="16">
        <f>INDEX(Inventario_Activos!$I$2:$I$16,MATCH(D24,Inventario_Activos!$D$2:$D$16,0))</f>
        <v>3</v>
      </c>
      <c r="M24" s="16">
        <f t="shared" si="1"/>
        <v>9</v>
      </c>
      <c r="N24" s="16" t="str">
        <f>INDEX(Escalas!$F$2:$F$5,MATCH(M24,Escalas!$E$2:$E$5,1))</f>
        <v>Moderado</v>
      </c>
      <c r="O24" s="19" t="s">
        <v>74</v>
      </c>
      <c r="P24" s="19" t="s">
        <v>150</v>
      </c>
      <c r="Q24">
        <f t="shared" si="2"/>
        <v>15.00128</v>
      </c>
    </row>
    <row r="25" spans="1:17" ht="45.75" customHeight="1" x14ac:dyDescent="0.25">
      <c r="A25" s="14">
        <v>24</v>
      </c>
      <c r="B25" s="16" t="str">
        <f>Inventario_Activos!B4</f>
        <v>Producción</v>
      </c>
      <c r="C25" s="16" t="str">
        <f>Inventario_Activos!C4</f>
        <v>Datos</v>
      </c>
      <c r="D25" s="16" t="str">
        <f>Inventario_Activos!D4</f>
        <v>Datos de clientes</v>
      </c>
      <c r="E25" s="19" t="s">
        <v>84</v>
      </c>
      <c r="F25" s="19" t="s">
        <v>151</v>
      </c>
      <c r="G25" s="19" t="s">
        <v>152</v>
      </c>
      <c r="H25" s="15">
        <v>3</v>
      </c>
      <c r="I25" s="15">
        <v>5</v>
      </c>
      <c r="J25" s="16">
        <f t="shared" si="0"/>
        <v>15</v>
      </c>
      <c r="K25" s="16" t="str">
        <f>INDEX(Escalas!$F$2:$F$5,MATCH(J25,Escalas!$E$2:$E$5,1))</f>
        <v>Alto</v>
      </c>
      <c r="L25" s="16">
        <f>INDEX(Inventario_Activos!$I$2:$I$16,MATCH(D25,Inventario_Activos!$D$2:$D$16,0))</f>
        <v>3</v>
      </c>
      <c r="M25" s="16">
        <f t="shared" si="1"/>
        <v>9</v>
      </c>
      <c r="N25" s="16" t="str">
        <f>INDEX(Escalas!$F$2:$F$5,MATCH(M25,Escalas!$E$2:$E$5,1))</f>
        <v>Moderado</v>
      </c>
      <c r="O25" s="19" t="s">
        <v>74</v>
      </c>
      <c r="P25" s="19" t="s">
        <v>153</v>
      </c>
      <c r="Q25">
        <f t="shared" si="2"/>
        <v>15.00127</v>
      </c>
    </row>
    <row r="26" spans="1:17" ht="45.75" customHeight="1" x14ac:dyDescent="0.25">
      <c r="A26" s="14">
        <v>25</v>
      </c>
      <c r="B26" s="16" t="str">
        <f>Inventario_Activos!B4</f>
        <v>Producción</v>
      </c>
      <c r="C26" s="16" t="str">
        <f>Inventario_Activos!C4</f>
        <v>Datos</v>
      </c>
      <c r="D26" s="16" t="str">
        <f>Inventario_Activos!D4</f>
        <v>Datos de clientes</v>
      </c>
      <c r="E26" s="19" t="s">
        <v>88</v>
      </c>
      <c r="F26" s="19" t="s">
        <v>154</v>
      </c>
      <c r="G26" s="19" t="s">
        <v>155</v>
      </c>
      <c r="H26" s="15">
        <v>3</v>
      </c>
      <c r="I26" s="15">
        <v>5</v>
      </c>
      <c r="J26" s="16">
        <f t="shared" si="0"/>
        <v>15</v>
      </c>
      <c r="K26" s="16" t="str">
        <f>INDEX(Escalas!$F$2:$F$5,MATCH(J26,Escalas!$E$2:$E$5,1))</f>
        <v>Alto</v>
      </c>
      <c r="L26" s="16">
        <f>INDEX(Inventario_Activos!$I$2:$I$16,MATCH(D26,Inventario_Activos!$D$2:$D$16,0))</f>
        <v>3</v>
      </c>
      <c r="M26" s="16">
        <f t="shared" si="1"/>
        <v>9</v>
      </c>
      <c r="N26" s="16" t="str">
        <f>INDEX(Escalas!$F$2:$F$5,MATCH(M26,Escalas!$E$2:$E$5,1))</f>
        <v>Moderado</v>
      </c>
      <c r="O26" s="19" t="s">
        <v>74</v>
      </c>
      <c r="P26" s="19" t="s">
        <v>156</v>
      </c>
      <c r="Q26">
        <f t="shared" si="2"/>
        <v>15.00126</v>
      </c>
    </row>
    <row r="27" spans="1:17" ht="45.75" customHeight="1" x14ac:dyDescent="0.25">
      <c r="A27" s="14">
        <v>26</v>
      </c>
      <c r="B27" s="16" t="str">
        <f>Inventario_Activos!B4</f>
        <v>Producción</v>
      </c>
      <c r="C27" s="16" t="str">
        <f>Inventario_Activos!C4</f>
        <v>Datos</v>
      </c>
      <c r="D27" s="16" t="str">
        <f>Inventario_Activos!D4</f>
        <v>Datos de clientes</v>
      </c>
      <c r="E27" s="19" t="s">
        <v>92</v>
      </c>
      <c r="F27" s="19" t="s">
        <v>157</v>
      </c>
      <c r="G27" s="19" t="s">
        <v>158</v>
      </c>
      <c r="H27" s="15">
        <v>3</v>
      </c>
      <c r="I27" s="15">
        <v>5</v>
      </c>
      <c r="J27" s="16">
        <f t="shared" si="0"/>
        <v>15</v>
      </c>
      <c r="K27" s="16" t="str">
        <f>INDEX(Escalas!$F$2:$F$5,MATCH(J27,Escalas!$E$2:$E$5,1))</f>
        <v>Alto</v>
      </c>
      <c r="L27" s="16">
        <f>INDEX(Inventario_Activos!$I$2:$I$16,MATCH(D27,Inventario_Activos!$D$2:$D$16,0))</f>
        <v>3</v>
      </c>
      <c r="M27" s="16">
        <f t="shared" si="1"/>
        <v>9</v>
      </c>
      <c r="N27" s="16" t="str">
        <f>INDEX(Escalas!$F$2:$F$5,MATCH(M27,Escalas!$E$2:$E$5,1))</f>
        <v>Moderado</v>
      </c>
      <c r="O27" s="19" t="s">
        <v>74</v>
      </c>
      <c r="P27" s="19" t="s">
        <v>159</v>
      </c>
      <c r="Q27">
        <f t="shared" si="2"/>
        <v>15.001250000000001</v>
      </c>
    </row>
    <row r="28" spans="1:17" ht="34.5" customHeight="1" x14ac:dyDescent="0.25">
      <c r="A28" s="14">
        <v>27</v>
      </c>
      <c r="B28" s="16" t="str">
        <f>Inventario_Activos!B4</f>
        <v>Producción</v>
      </c>
      <c r="C28" s="16" t="str">
        <f>Inventario_Activos!C4</f>
        <v>Datos</v>
      </c>
      <c r="D28" s="16" t="str">
        <f>Inventario_Activos!D4</f>
        <v>Datos de clientes</v>
      </c>
      <c r="E28" s="19" t="s">
        <v>96</v>
      </c>
      <c r="F28" s="19" t="s">
        <v>160</v>
      </c>
      <c r="G28" s="19" t="s">
        <v>161</v>
      </c>
      <c r="H28" s="15">
        <v>3</v>
      </c>
      <c r="I28" s="15">
        <v>4</v>
      </c>
      <c r="J28" s="16">
        <f t="shared" si="0"/>
        <v>12</v>
      </c>
      <c r="K28" s="16" t="str">
        <f>INDEX(Escalas!$F$2:$F$5,MATCH(J28,Escalas!$E$2:$E$5,1))</f>
        <v>Alto</v>
      </c>
      <c r="L28" s="16">
        <f>INDEX(Inventario_Activos!$I$2:$I$16,MATCH(D28,Inventario_Activos!$D$2:$D$16,0))</f>
        <v>3</v>
      </c>
      <c r="M28" s="16">
        <f t="shared" si="1"/>
        <v>7</v>
      </c>
      <c r="N28" s="16" t="str">
        <f>INDEX(Escalas!$F$2:$F$5,MATCH(M28,Escalas!$E$2:$E$5,1))</f>
        <v>Moderado</v>
      </c>
      <c r="O28" s="19" t="s">
        <v>74</v>
      </c>
      <c r="P28" s="19" t="s">
        <v>162</v>
      </c>
      <c r="Q28">
        <f t="shared" si="2"/>
        <v>12.001239999999999</v>
      </c>
    </row>
    <row r="29" spans="1:17" ht="34.5" customHeight="1" x14ac:dyDescent="0.25">
      <c r="A29" s="14">
        <v>28</v>
      </c>
      <c r="B29" s="16" t="str">
        <f>Inventario_Activos!B4</f>
        <v>Producción</v>
      </c>
      <c r="C29" s="16" t="str">
        <f>Inventario_Activos!C4</f>
        <v>Datos</v>
      </c>
      <c r="D29" s="16" t="str">
        <f>Inventario_Activos!D4</f>
        <v>Datos de clientes</v>
      </c>
      <c r="E29" s="19" t="s">
        <v>100</v>
      </c>
      <c r="F29" s="19" t="s">
        <v>163</v>
      </c>
      <c r="G29" s="19" t="s">
        <v>164</v>
      </c>
      <c r="H29" s="15">
        <v>2</v>
      </c>
      <c r="I29" s="15">
        <v>5</v>
      </c>
      <c r="J29" s="16">
        <f t="shared" si="0"/>
        <v>10</v>
      </c>
      <c r="K29" s="16" t="str">
        <f>INDEX(Escalas!$F$2:$F$5,MATCH(J29,Escalas!$E$2:$E$5,1))</f>
        <v>Moderado</v>
      </c>
      <c r="L29" s="16">
        <f>INDEX(Inventario_Activos!$I$2:$I$16,MATCH(D29,Inventario_Activos!$D$2:$D$16,0))</f>
        <v>3</v>
      </c>
      <c r="M29" s="16">
        <f t="shared" si="1"/>
        <v>6</v>
      </c>
      <c r="N29" s="16" t="str">
        <f>INDEX(Escalas!$F$2:$F$5,MATCH(M29,Escalas!$E$2:$E$5,1))</f>
        <v>Moderado</v>
      </c>
      <c r="O29" s="19" t="s">
        <v>74</v>
      </c>
      <c r="P29" s="19" t="s">
        <v>165</v>
      </c>
      <c r="Q29">
        <f t="shared" si="2"/>
        <v>10.00123</v>
      </c>
    </row>
    <row r="30" spans="1:17" ht="34.5" customHeight="1" x14ac:dyDescent="0.25">
      <c r="A30" s="14">
        <v>29</v>
      </c>
      <c r="B30" s="16" t="str">
        <f>Inventario_Activos!B4</f>
        <v>Producción</v>
      </c>
      <c r="C30" s="16" t="str">
        <f>Inventario_Activos!C4</f>
        <v>Datos</v>
      </c>
      <c r="D30" s="16" t="str">
        <f>Inventario_Activos!D4</f>
        <v>Datos de clientes</v>
      </c>
      <c r="E30" s="19" t="s">
        <v>104</v>
      </c>
      <c r="F30" s="19" t="s">
        <v>166</v>
      </c>
      <c r="G30" s="19" t="s">
        <v>167</v>
      </c>
      <c r="H30" s="15">
        <v>2</v>
      </c>
      <c r="I30" s="15">
        <v>5</v>
      </c>
      <c r="J30" s="16">
        <f t="shared" si="0"/>
        <v>10</v>
      </c>
      <c r="K30" s="16" t="str">
        <f>INDEX(Escalas!$F$2:$F$5,MATCH(J30,Escalas!$E$2:$E$5,1))</f>
        <v>Moderado</v>
      </c>
      <c r="L30" s="16">
        <f>INDEX(Inventario_Activos!$I$2:$I$16,MATCH(D30,Inventario_Activos!$D$2:$D$16,0))</f>
        <v>3</v>
      </c>
      <c r="M30" s="16">
        <f t="shared" si="1"/>
        <v>6</v>
      </c>
      <c r="N30" s="16" t="str">
        <f>INDEX(Escalas!$F$2:$F$5,MATCH(M30,Escalas!$E$2:$E$5,1))</f>
        <v>Moderado</v>
      </c>
      <c r="O30" s="19" t="s">
        <v>74</v>
      </c>
      <c r="P30" s="19" t="s">
        <v>168</v>
      </c>
      <c r="Q30">
        <f t="shared" si="2"/>
        <v>10.00122</v>
      </c>
    </row>
    <row r="31" spans="1:17" ht="34.5" customHeight="1" x14ac:dyDescent="0.25">
      <c r="A31" s="14">
        <v>30</v>
      </c>
      <c r="B31" s="16" t="str">
        <f>Inventario_Activos!B4</f>
        <v>Producción</v>
      </c>
      <c r="C31" s="16" t="str">
        <f>Inventario_Activos!C4</f>
        <v>Datos</v>
      </c>
      <c r="D31" s="16" t="str">
        <f>Inventario_Activos!D4</f>
        <v>Datos de clientes</v>
      </c>
      <c r="E31" s="19" t="s">
        <v>108</v>
      </c>
      <c r="F31" s="19" t="s">
        <v>169</v>
      </c>
      <c r="G31" s="19" t="s">
        <v>170</v>
      </c>
      <c r="H31" s="15">
        <v>3</v>
      </c>
      <c r="I31" s="15">
        <v>4</v>
      </c>
      <c r="J31" s="16">
        <f t="shared" si="0"/>
        <v>12</v>
      </c>
      <c r="K31" s="16" t="str">
        <f>INDEX(Escalas!$F$2:$F$5,MATCH(J31,Escalas!$E$2:$E$5,1))</f>
        <v>Alto</v>
      </c>
      <c r="L31" s="16">
        <f>INDEX(Inventario_Activos!$I$2:$I$16,MATCH(D31,Inventario_Activos!$D$2:$D$16,0))</f>
        <v>3</v>
      </c>
      <c r="M31" s="16">
        <f t="shared" si="1"/>
        <v>7</v>
      </c>
      <c r="N31" s="16" t="str">
        <f>INDEX(Escalas!$F$2:$F$5,MATCH(M31,Escalas!$E$2:$E$5,1))</f>
        <v>Moderado</v>
      </c>
      <c r="O31" s="19" t="s">
        <v>74</v>
      </c>
      <c r="P31" s="19" t="s">
        <v>171</v>
      </c>
      <c r="Q31">
        <f t="shared" si="2"/>
        <v>12.00121</v>
      </c>
    </row>
    <row r="32" spans="1:17" ht="25.5" customHeight="1" x14ac:dyDescent="0.25">
      <c r="A32" s="14">
        <v>31</v>
      </c>
      <c r="B32" s="16" t="str">
        <f>Inventario_Activos!B5</f>
        <v>Producción</v>
      </c>
      <c r="C32" s="16" t="str">
        <f>Inventario_Activos!C5</f>
        <v>Recursos Humanos</v>
      </c>
      <c r="D32" s="16" t="str">
        <f>Inventario_Activos!D5</f>
        <v>Administrador de sistemas</v>
      </c>
      <c r="E32" s="19" t="s">
        <v>71</v>
      </c>
      <c r="F32" s="19" t="s">
        <v>172</v>
      </c>
      <c r="G32" s="19" t="s">
        <v>173</v>
      </c>
      <c r="H32" s="15">
        <v>2</v>
      </c>
      <c r="I32" s="15">
        <v>3</v>
      </c>
      <c r="J32" s="16">
        <f t="shared" si="0"/>
        <v>6</v>
      </c>
      <c r="K32" s="16" t="str">
        <f>INDEX(Escalas!$F$2:$F$5,MATCH(J32,Escalas!$E$2:$E$5,1))</f>
        <v>Moderado</v>
      </c>
      <c r="L32" s="16">
        <f>INDEX(Inventario_Activos!$I$2:$I$16,MATCH(D32,Inventario_Activos!$D$2:$D$16,0))</f>
        <v>3</v>
      </c>
      <c r="M32" s="16">
        <f t="shared" si="1"/>
        <v>4</v>
      </c>
      <c r="N32" s="16" t="str">
        <f>INDEX(Escalas!$F$2:$F$5,MATCH(M32,Escalas!$E$2:$E$5,1))</f>
        <v>Bajo</v>
      </c>
      <c r="O32" s="19" t="s">
        <v>74</v>
      </c>
      <c r="P32" s="19" t="s">
        <v>174</v>
      </c>
      <c r="Q32">
        <f t="shared" si="2"/>
        <v>6.0011999999999999</v>
      </c>
    </row>
    <row r="33" spans="1:17" ht="25.5" customHeight="1" x14ac:dyDescent="0.25">
      <c r="A33" s="14">
        <v>32</v>
      </c>
      <c r="B33" s="16" t="str">
        <f>Inventario_Activos!B5</f>
        <v>Producción</v>
      </c>
      <c r="C33" s="16" t="str">
        <f>Inventario_Activos!C5</f>
        <v>Recursos Humanos</v>
      </c>
      <c r="D33" s="16" t="str">
        <f>Inventario_Activos!D5</f>
        <v>Administrador de sistemas</v>
      </c>
      <c r="E33" s="19" t="s">
        <v>76</v>
      </c>
      <c r="F33" s="19" t="s">
        <v>175</v>
      </c>
      <c r="G33" s="19" t="s">
        <v>176</v>
      </c>
      <c r="H33" s="15">
        <v>3</v>
      </c>
      <c r="I33" s="15">
        <v>5</v>
      </c>
      <c r="J33" s="16">
        <f t="shared" si="0"/>
        <v>15</v>
      </c>
      <c r="K33" s="16" t="str">
        <f>INDEX(Escalas!$F$2:$F$5,MATCH(J33,Escalas!$E$2:$E$5,1))</f>
        <v>Alto</v>
      </c>
      <c r="L33" s="16">
        <f>INDEX(Inventario_Activos!$I$2:$I$16,MATCH(D33,Inventario_Activos!$D$2:$D$16,0))</f>
        <v>3</v>
      </c>
      <c r="M33" s="16">
        <f t="shared" si="1"/>
        <v>9</v>
      </c>
      <c r="N33" s="16" t="str">
        <f>INDEX(Escalas!$F$2:$F$5,MATCH(M33,Escalas!$E$2:$E$5,1))</f>
        <v>Moderado</v>
      </c>
      <c r="O33" s="19" t="s">
        <v>74</v>
      </c>
      <c r="P33" s="19" t="s">
        <v>177</v>
      </c>
      <c r="Q33">
        <f t="shared" si="2"/>
        <v>15.001189999999999</v>
      </c>
    </row>
    <row r="34" spans="1:17" ht="25.5" customHeight="1" x14ac:dyDescent="0.25">
      <c r="A34" s="14">
        <v>33</v>
      </c>
      <c r="B34" s="16" t="str">
        <f>Inventario_Activos!B5</f>
        <v>Producción</v>
      </c>
      <c r="C34" s="16" t="str">
        <f>Inventario_Activos!C5</f>
        <v>Recursos Humanos</v>
      </c>
      <c r="D34" s="16" t="str">
        <f>Inventario_Activos!D5</f>
        <v>Administrador de sistemas</v>
      </c>
      <c r="E34" s="19" t="s">
        <v>80</v>
      </c>
      <c r="F34" s="19" t="s">
        <v>178</v>
      </c>
      <c r="G34" s="19" t="s">
        <v>179</v>
      </c>
      <c r="H34" s="15">
        <v>3</v>
      </c>
      <c r="I34" s="15">
        <v>5</v>
      </c>
      <c r="J34" s="16">
        <f t="shared" ref="J34:J65" si="3">H34*I34</f>
        <v>15</v>
      </c>
      <c r="K34" s="16" t="str">
        <f>INDEX(Escalas!$F$2:$F$5,MATCH(J34,Escalas!$E$2:$E$5,1))</f>
        <v>Alto</v>
      </c>
      <c r="L34" s="16">
        <f>INDEX(Inventario_Activos!$I$2:$I$16,MATCH(D34,Inventario_Activos!$D$2:$D$16,0))</f>
        <v>3</v>
      </c>
      <c r="M34" s="16">
        <f t="shared" ref="M34:M65" si="4">ROUND(J34*L34/5,0)</f>
        <v>9</v>
      </c>
      <c r="N34" s="16" t="str">
        <f>INDEX(Escalas!$F$2:$F$5,MATCH(M34,Escalas!$E$2:$E$5,1))</f>
        <v>Moderado</v>
      </c>
      <c r="O34" s="19" t="s">
        <v>74</v>
      </c>
      <c r="P34" s="19" t="s">
        <v>180</v>
      </c>
      <c r="Q34">
        <f t="shared" ref="Q34:Q65" si="5">J34+(152-ROW())/100000</f>
        <v>15.00118</v>
      </c>
    </row>
    <row r="35" spans="1:17" ht="25.5" customHeight="1" x14ac:dyDescent="0.25">
      <c r="A35" s="14">
        <v>34</v>
      </c>
      <c r="B35" s="16" t="str">
        <f>Inventario_Activos!B5</f>
        <v>Producción</v>
      </c>
      <c r="C35" s="16" t="str">
        <f>Inventario_Activos!C5</f>
        <v>Recursos Humanos</v>
      </c>
      <c r="D35" s="16" t="str">
        <f>Inventario_Activos!D5</f>
        <v>Administrador de sistemas</v>
      </c>
      <c r="E35" s="19" t="s">
        <v>84</v>
      </c>
      <c r="F35" s="19" t="s">
        <v>181</v>
      </c>
      <c r="G35" s="19" t="s">
        <v>182</v>
      </c>
      <c r="H35" s="15">
        <v>3</v>
      </c>
      <c r="I35" s="15">
        <v>5</v>
      </c>
      <c r="J35" s="16">
        <f t="shared" si="3"/>
        <v>15</v>
      </c>
      <c r="K35" s="16" t="str">
        <f>INDEX(Escalas!$F$2:$F$5,MATCH(J35,Escalas!$E$2:$E$5,1))</f>
        <v>Alto</v>
      </c>
      <c r="L35" s="16">
        <f>INDEX(Inventario_Activos!$I$2:$I$16,MATCH(D35,Inventario_Activos!$D$2:$D$16,0))</f>
        <v>3</v>
      </c>
      <c r="M35" s="16">
        <f t="shared" si="4"/>
        <v>9</v>
      </c>
      <c r="N35" s="16" t="str">
        <f>INDEX(Escalas!$F$2:$F$5,MATCH(M35,Escalas!$E$2:$E$5,1))</f>
        <v>Moderado</v>
      </c>
      <c r="O35" s="19" t="s">
        <v>74</v>
      </c>
      <c r="P35" s="19" t="s">
        <v>183</v>
      </c>
      <c r="Q35">
        <f t="shared" si="5"/>
        <v>15.00117</v>
      </c>
    </row>
    <row r="36" spans="1:17" ht="25.5" customHeight="1" x14ac:dyDescent="0.25">
      <c r="A36" s="14">
        <v>35</v>
      </c>
      <c r="B36" s="16" t="str">
        <f>Inventario_Activos!B5</f>
        <v>Producción</v>
      </c>
      <c r="C36" s="16" t="str">
        <f>Inventario_Activos!C5</f>
        <v>Recursos Humanos</v>
      </c>
      <c r="D36" s="16" t="str">
        <f>Inventario_Activos!D5</f>
        <v>Administrador de sistemas</v>
      </c>
      <c r="E36" s="19" t="s">
        <v>88</v>
      </c>
      <c r="F36" s="19" t="s">
        <v>184</v>
      </c>
      <c r="G36" s="19" t="s">
        <v>185</v>
      </c>
      <c r="H36" s="15">
        <v>2</v>
      </c>
      <c r="I36" s="15">
        <v>4</v>
      </c>
      <c r="J36" s="16">
        <f t="shared" si="3"/>
        <v>8</v>
      </c>
      <c r="K36" s="16" t="str">
        <f>INDEX(Escalas!$F$2:$F$5,MATCH(J36,Escalas!$E$2:$E$5,1))</f>
        <v>Moderado</v>
      </c>
      <c r="L36" s="16">
        <f>INDEX(Inventario_Activos!$I$2:$I$16,MATCH(D36,Inventario_Activos!$D$2:$D$16,0))</f>
        <v>3</v>
      </c>
      <c r="M36" s="16">
        <f t="shared" si="4"/>
        <v>5</v>
      </c>
      <c r="N36" s="16" t="str">
        <f>INDEX(Escalas!$F$2:$F$5,MATCH(M36,Escalas!$E$2:$E$5,1))</f>
        <v>Bajo</v>
      </c>
      <c r="O36" s="19" t="s">
        <v>74</v>
      </c>
      <c r="P36" s="19" t="s">
        <v>186</v>
      </c>
      <c r="Q36">
        <f t="shared" si="5"/>
        <v>8.0011600000000005</v>
      </c>
    </row>
    <row r="37" spans="1:17" ht="25.5" customHeight="1" x14ac:dyDescent="0.25">
      <c r="A37" s="14">
        <v>36</v>
      </c>
      <c r="B37" s="16" t="str">
        <f>Inventario_Activos!B5</f>
        <v>Producción</v>
      </c>
      <c r="C37" s="16" t="str">
        <f>Inventario_Activos!C5</f>
        <v>Recursos Humanos</v>
      </c>
      <c r="D37" s="16" t="str">
        <f>Inventario_Activos!D5</f>
        <v>Administrador de sistemas</v>
      </c>
      <c r="E37" s="19" t="s">
        <v>92</v>
      </c>
      <c r="F37" s="19" t="s">
        <v>187</v>
      </c>
      <c r="G37" s="19" t="s">
        <v>188</v>
      </c>
      <c r="H37" s="15">
        <v>3</v>
      </c>
      <c r="I37" s="15">
        <v>4</v>
      </c>
      <c r="J37" s="16">
        <f t="shared" si="3"/>
        <v>12</v>
      </c>
      <c r="K37" s="16" t="str">
        <f>INDEX(Escalas!$F$2:$F$5,MATCH(J37,Escalas!$E$2:$E$5,1))</f>
        <v>Alto</v>
      </c>
      <c r="L37" s="16">
        <f>INDEX(Inventario_Activos!$I$2:$I$16,MATCH(D37,Inventario_Activos!$D$2:$D$16,0))</f>
        <v>3</v>
      </c>
      <c r="M37" s="16">
        <f t="shared" si="4"/>
        <v>7</v>
      </c>
      <c r="N37" s="16" t="str">
        <f>INDEX(Escalas!$F$2:$F$5,MATCH(M37,Escalas!$E$2:$E$5,1))</f>
        <v>Moderado</v>
      </c>
      <c r="O37" s="19" t="s">
        <v>74</v>
      </c>
      <c r="P37" s="19" t="s">
        <v>189</v>
      </c>
      <c r="Q37">
        <f t="shared" si="5"/>
        <v>12.001150000000001</v>
      </c>
    </row>
    <row r="38" spans="1:17" ht="25.5" customHeight="1" x14ac:dyDescent="0.25">
      <c r="A38" s="14">
        <v>37</v>
      </c>
      <c r="B38" s="16" t="str">
        <f>Inventario_Activos!B5</f>
        <v>Producción</v>
      </c>
      <c r="C38" s="16" t="str">
        <f>Inventario_Activos!C5</f>
        <v>Recursos Humanos</v>
      </c>
      <c r="D38" s="16" t="str">
        <f>Inventario_Activos!D5</f>
        <v>Administrador de sistemas</v>
      </c>
      <c r="E38" s="19" t="s">
        <v>96</v>
      </c>
      <c r="F38" s="19" t="s">
        <v>190</v>
      </c>
      <c r="G38" s="19" t="s">
        <v>191</v>
      </c>
      <c r="H38" s="15">
        <v>3</v>
      </c>
      <c r="I38" s="15">
        <v>5</v>
      </c>
      <c r="J38" s="16">
        <f t="shared" si="3"/>
        <v>15</v>
      </c>
      <c r="K38" s="16" t="str">
        <f>INDEX(Escalas!$F$2:$F$5,MATCH(J38,Escalas!$E$2:$E$5,1))</f>
        <v>Alto</v>
      </c>
      <c r="L38" s="16">
        <f>INDEX(Inventario_Activos!$I$2:$I$16,MATCH(D38,Inventario_Activos!$D$2:$D$16,0))</f>
        <v>3</v>
      </c>
      <c r="M38" s="16">
        <f t="shared" si="4"/>
        <v>9</v>
      </c>
      <c r="N38" s="16" t="str">
        <f>INDEX(Escalas!$F$2:$F$5,MATCH(M38,Escalas!$E$2:$E$5,1))</f>
        <v>Moderado</v>
      </c>
      <c r="O38" s="19" t="s">
        <v>74</v>
      </c>
      <c r="P38" s="19" t="s">
        <v>192</v>
      </c>
      <c r="Q38">
        <f t="shared" si="5"/>
        <v>15.001139999999999</v>
      </c>
    </row>
    <row r="39" spans="1:17" ht="25.5" customHeight="1" x14ac:dyDescent="0.25">
      <c r="A39" s="14">
        <v>38</v>
      </c>
      <c r="B39" s="16" t="str">
        <f>Inventario_Activos!B5</f>
        <v>Producción</v>
      </c>
      <c r="C39" s="16" t="str">
        <f>Inventario_Activos!C5</f>
        <v>Recursos Humanos</v>
      </c>
      <c r="D39" s="16" t="str">
        <f>Inventario_Activos!D5</f>
        <v>Administrador de sistemas</v>
      </c>
      <c r="E39" s="19" t="s">
        <v>100</v>
      </c>
      <c r="F39" s="19" t="s">
        <v>193</v>
      </c>
      <c r="G39" s="19" t="s">
        <v>194</v>
      </c>
      <c r="H39" s="15">
        <v>3</v>
      </c>
      <c r="I39" s="15">
        <v>4</v>
      </c>
      <c r="J39" s="16">
        <f t="shared" si="3"/>
        <v>12</v>
      </c>
      <c r="K39" s="16" t="str">
        <f>INDEX(Escalas!$F$2:$F$5,MATCH(J39,Escalas!$E$2:$E$5,1))</f>
        <v>Alto</v>
      </c>
      <c r="L39" s="16">
        <f>INDEX(Inventario_Activos!$I$2:$I$16,MATCH(D39,Inventario_Activos!$D$2:$D$16,0))</f>
        <v>3</v>
      </c>
      <c r="M39" s="16">
        <f t="shared" si="4"/>
        <v>7</v>
      </c>
      <c r="N39" s="16" t="str">
        <f>INDEX(Escalas!$F$2:$F$5,MATCH(M39,Escalas!$E$2:$E$5,1))</f>
        <v>Moderado</v>
      </c>
      <c r="O39" s="19" t="s">
        <v>74</v>
      </c>
      <c r="P39" s="19" t="s">
        <v>195</v>
      </c>
      <c r="Q39">
        <f t="shared" si="5"/>
        <v>12.00113</v>
      </c>
    </row>
    <row r="40" spans="1:17" ht="25.5" customHeight="1" x14ac:dyDescent="0.25">
      <c r="A40" s="14">
        <v>39</v>
      </c>
      <c r="B40" s="16" t="str">
        <f>Inventario_Activos!B5</f>
        <v>Producción</v>
      </c>
      <c r="C40" s="16" t="str">
        <f>Inventario_Activos!C5</f>
        <v>Recursos Humanos</v>
      </c>
      <c r="D40" s="16" t="str">
        <f>Inventario_Activos!D5</f>
        <v>Administrador de sistemas</v>
      </c>
      <c r="E40" s="19" t="s">
        <v>104</v>
      </c>
      <c r="F40" s="19" t="s">
        <v>196</v>
      </c>
      <c r="G40" s="19" t="s">
        <v>197</v>
      </c>
      <c r="H40" s="15">
        <v>2</v>
      </c>
      <c r="I40" s="15">
        <v>4</v>
      </c>
      <c r="J40" s="16">
        <f t="shared" si="3"/>
        <v>8</v>
      </c>
      <c r="K40" s="16" t="str">
        <f>INDEX(Escalas!$F$2:$F$5,MATCH(J40,Escalas!$E$2:$E$5,1))</f>
        <v>Moderado</v>
      </c>
      <c r="L40" s="16">
        <f>INDEX(Inventario_Activos!$I$2:$I$16,MATCH(D40,Inventario_Activos!$D$2:$D$16,0))</f>
        <v>3</v>
      </c>
      <c r="M40" s="16">
        <f t="shared" si="4"/>
        <v>5</v>
      </c>
      <c r="N40" s="16" t="str">
        <f>INDEX(Escalas!$F$2:$F$5,MATCH(M40,Escalas!$E$2:$E$5,1))</f>
        <v>Bajo</v>
      </c>
      <c r="O40" s="19" t="s">
        <v>74</v>
      </c>
      <c r="P40" s="19" t="s">
        <v>198</v>
      </c>
      <c r="Q40">
        <f t="shared" si="5"/>
        <v>8.0011200000000002</v>
      </c>
    </row>
    <row r="41" spans="1:17" ht="25.5" customHeight="1" x14ac:dyDescent="0.25">
      <c r="A41" s="14">
        <v>40</v>
      </c>
      <c r="B41" s="16" t="str">
        <f>Inventario_Activos!B5</f>
        <v>Producción</v>
      </c>
      <c r="C41" s="16" t="str">
        <f>Inventario_Activos!C5</f>
        <v>Recursos Humanos</v>
      </c>
      <c r="D41" s="16" t="str">
        <f>Inventario_Activos!D5</f>
        <v>Administrador de sistemas</v>
      </c>
      <c r="E41" s="19" t="s">
        <v>108</v>
      </c>
      <c r="F41" s="19" t="s">
        <v>199</v>
      </c>
      <c r="G41" s="19" t="s">
        <v>200</v>
      </c>
      <c r="H41" s="15">
        <v>3</v>
      </c>
      <c r="I41" s="15">
        <v>4</v>
      </c>
      <c r="J41" s="16">
        <f t="shared" si="3"/>
        <v>12</v>
      </c>
      <c r="K41" s="16" t="str">
        <f>INDEX(Escalas!$F$2:$F$5,MATCH(J41,Escalas!$E$2:$E$5,1))</f>
        <v>Alto</v>
      </c>
      <c r="L41" s="16">
        <f>INDEX(Inventario_Activos!$I$2:$I$16,MATCH(D41,Inventario_Activos!$D$2:$D$16,0))</f>
        <v>3</v>
      </c>
      <c r="M41" s="16">
        <f t="shared" si="4"/>
        <v>7</v>
      </c>
      <c r="N41" s="16" t="str">
        <f>INDEX(Escalas!$F$2:$F$5,MATCH(M41,Escalas!$E$2:$E$5,1))</f>
        <v>Moderado</v>
      </c>
      <c r="O41" s="19" t="s">
        <v>74</v>
      </c>
      <c r="P41" s="19" t="s">
        <v>201</v>
      </c>
      <c r="Q41">
        <f t="shared" si="5"/>
        <v>12.001110000000001</v>
      </c>
    </row>
    <row r="42" spans="1:17" ht="34.5" customHeight="1" x14ac:dyDescent="0.25">
      <c r="A42" s="14">
        <v>41</v>
      </c>
      <c r="B42" s="16" t="str">
        <f>Inventario_Activos!B6</f>
        <v>Producción</v>
      </c>
      <c r="C42" s="16" t="str">
        <f>Inventario_Activos!C6</f>
        <v>Hardware</v>
      </c>
      <c r="D42" s="16" t="str">
        <f>Inventario_Activos!D6</f>
        <v>Firewall / Router de borde</v>
      </c>
      <c r="E42" s="19" t="s">
        <v>71</v>
      </c>
      <c r="F42" s="19" t="s">
        <v>202</v>
      </c>
      <c r="G42" s="19" t="s">
        <v>203</v>
      </c>
      <c r="H42" s="15">
        <v>2</v>
      </c>
      <c r="I42" s="15">
        <v>4</v>
      </c>
      <c r="J42" s="16">
        <f t="shared" si="3"/>
        <v>8</v>
      </c>
      <c r="K42" s="16" t="str">
        <f>INDEX(Escalas!$F$2:$F$5,MATCH(J42,Escalas!$E$2:$E$5,1))</f>
        <v>Moderado</v>
      </c>
      <c r="L42" s="16">
        <f>INDEX(Inventario_Activos!$I$2:$I$16,MATCH(D42,Inventario_Activos!$D$2:$D$16,0))</f>
        <v>3</v>
      </c>
      <c r="M42" s="16">
        <f t="shared" si="4"/>
        <v>5</v>
      </c>
      <c r="N42" s="16" t="str">
        <f>INDEX(Escalas!$F$2:$F$5,MATCH(M42,Escalas!$E$2:$E$5,1))</f>
        <v>Bajo</v>
      </c>
      <c r="O42" s="19" t="s">
        <v>74</v>
      </c>
      <c r="P42" s="19" t="s">
        <v>204</v>
      </c>
      <c r="Q42">
        <f t="shared" si="5"/>
        <v>8.0010999999999992</v>
      </c>
    </row>
    <row r="43" spans="1:17" ht="45.75" customHeight="1" x14ac:dyDescent="0.25">
      <c r="A43" s="14">
        <v>42</v>
      </c>
      <c r="B43" s="16" t="str">
        <f>Inventario_Activos!B6</f>
        <v>Producción</v>
      </c>
      <c r="C43" s="16" t="str">
        <f>Inventario_Activos!C6</f>
        <v>Hardware</v>
      </c>
      <c r="D43" s="16" t="str">
        <f>Inventario_Activos!D6</f>
        <v>Firewall / Router de borde</v>
      </c>
      <c r="E43" s="19" t="s">
        <v>76</v>
      </c>
      <c r="F43" s="19" t="s">
        <v>205</v>
      </c>
      <c r="G43" s="19" t="s">
        <v>206</v>
      </c>
      <c r="H43" s="15">
        <v>3</v>
      </c>
      <c r="I43" s="15">
        <v>5</v>
      </c>
      <c r="J43" s="16">
        <f t="shared" si="3"/>
        <v>15</v>
      </c>
      <c r="K43" s="16" t="str">
        <f>INDEX(Escalas!$F$2:$F$5,MATCH(J43,Escalas!$E$2:$E$5,1))</f>
        <v>Alto</v>
      </c>
      <c r="L43" s="16">
        <f>INDEX(Inventario_Activos!$I$2:$I$16,MATCH(D43,Inventario_Activos!$D$2:$D$16,0))</f>
        <v>3</v>
      </c>
      <c r="M43" s="16">
        <f t="shared" si="4"/>
        <v>9</v>
      </c>
      <c r="N43" s="16" t="str">
        <f>INDEX(Escalas!$F$2:$F$5,MATCH(M43,Escalas!$E$2:$E$5,1))</f>
        <v>Moderado</v>
      </c>
      <c r="O43" s="19" t="s">
        <v>74</v>
      </c>
      <c r="P43" s="19" t="s">
        <v>207</v>
      </c>
      <c r="Q43">
        <f t="shared" si="5"/>
        <v>15.00109</v>
      </c>
    </row>
    <row r="44" spans="1:17" ht="34.5" customHeight="1" x14ac:dyDescent="0.25">
      <c r="A44" s="14">
        <v>43</v>
      </c>
      <c r="B44" s="16" t="str">
        <f>Inventario_Activos!B6</f>
        <v>Producción</v>
      </c>
      <c r="C44" s="16" t="str">
        <f>Inventario_Activos!C6</f>
        <v>Hardware</v>
      </c>
      <c r="D44" s="16" t="str">
        <f>Inventario_Activos!D6</f>
        <v>Firewall / Router de borde</v>
      </c>
      <c r="E44" s="19" t="s">
        <v>80</v>
      </c>
      <c r="F44" s="19" t="s">
        <v>208</v>
      </c>
      <c r="G44" s="19" t="s">
        <v>209</v>
      </c>
      <c r="H44" s="15">
        <v>3</v>
      </c>
      <c r="I44" s="15">
        <v>5</v>
      </c>
      <c r="J44" s="16">
        <f t="shared" si="3"/>
        <v>15</v>
      </c>
      <c r="K44" s="16" t="str">
        <f>INDEX(Escalas!$F$2:$F$5,MATCH(J44,Escalas!$E$2:$E$5,1))</f>
        <v>Alto</v>
      </c>
      <c r="L44" s="16">
        <f>INDEX(Inventario_Activos!$I$2:$I$16,MATCH(D44,Inventario_Activos!$D$2:$D$16,0))</f>
        <v>3</v>
      </c>
      <c r="M44" s="16">
        <f t="shared" si="4"/>
        <v>9</v>
      </c>
      <c r="N44" s="16" t="str">
        <f>INDEX(Escalas!$F$2:$F$5,MATCH(M44,Escalas!$E$2:$E$5,1))</f>
        <v>Moderado</v>
      </c>
      <c r="O44" s="19" t="s">
        <v>74</v>
      </c>
      <c r="P44" s="19" t="s">
        <v>210</v>
      </c>
      <c r="Q44">
        <f t="shared" si="5"/>
        <v>15.00108</v>
      </c>
    </row>
    <row r="45" spans="1:17" ht="34.5" customHeight="1" x14ac:dyDescent="0.25">
      <c r="A45" s="14">
        <v>44</v>
      </c>
      <c r="B45" s="16" t="str">
        <f>Inventario_Activos!B6</f>
        <v>Producción</v>
      </c>
      <c r="C45" s="16" t="str">
        <f>Inventario_Activos!C6</f>
        <v>Hardware</v>
      </c>
      <c r="D45" s="16" t="str">
        <f>Inventario_Activos!D6</f>
        <v>Firewall / Router de borde</v>
      </c>
      <c r="E45" s="19" t="s">
        <v>84</v>
      </c>
      <c r="F45" s="19" t="s">
        <v>211</v>
      </c>
      <c r="G45" s="19" t="s">
        <v>212</v>
      </c>
      <c r="H45" s="15">
        <v>3</v>
      </c>
      <c r="I45" s="15">
        <v>4</v>
      </c>
      <c r="J45" s="16">
        <f t="shared" si="3"/>
        <v>12</v>
      </c>
      <c r="K45" s="16" t="str">
        <f>INDEX(Escalas!$F$2:$F$5,MATCH(J45,Escalas!$E$2:$E$5,1))</f>
        <v>Alto</v>
      </c>
      <c r="L45" s="16">
        <f>INDEX(Inventario_Activos!$I$2:$I$16,MATCH(D45,Inventario_Activos!$D$2:$D$16,0))</f>
        <v>3</v>
      </c>
      <c r="M45" s="16">
        <f t="shared" si="4"/>
        <v>7</v>
      </c>
      <c r="N45" s="16" t="str">
        <f>INDEX(Escalas!$F$2:$F$5,MATCH(M45,Escalas!$E$2:$E$5,1))</f>
        <v>Moderado</v>
      </c>
      <c r="O45" s="19" t="s">
        <v>74</v>
      </c>
      <c r="P45" s="19" t="s">
        <v>213</v>
      </c>
      <c r="Q45">
        <f t="shared" si="5"/>
        <v>12.00107</v>
      </c>
    </row>
    <row r="46" spans="1:17" ht="34.5" customHeight="1" x14ac:dyDescent="0.25">
      <c r="A46" s="14">
        <v>45</v>
      </c>
      <c r="B46" s="16" t="str">
        <f>Inventario_Activos!B6</f>
        <v>Producción</v>
      </c>
      <c r="C46" s="16" t="str">
        <f>Inventario_Activos!C6</f>
        <v>Hardware</v>
      </c>
      <c r="D46" s="16" t="str">
        <f>Inventario_Activos!D6</f>
        <v>Firewall / Router de borde</v>
      </c>
      <c r="E46" s="19" t="s">
        <v>88</v>
      </c>
      <c r="F46" s="19" t="s">
        <v>214</v>
      </c>
      <c r="G46" s="19" t="s">
        <v>215</v>
      </c>
      <c r="H46" s="15">
        <v>2</v>
      </c>
      <c r="I46" s="15">
        <v>3</v>
      </c>
      <c r="J46" s="16">
        <f t="shared" si="3"/>
        <v>6</v>
      </c>
      <c r="K46" s="16" t="str">
        <f>INDEX(Escalas!$F$2:$F$5,MATCH(J46,Escalas!$E$2:$E$5,1))</f>
        <v>Moderado</v>
      </c>
      <c r="L46" s="16">
        <f>INDEX(Inventario_Activos!$I$2:$I$16,MATCH(D46,Inventario_Activos!$D$2:$D$16,0))</f>
        <v>3</v>
      </c>
      <c r="M46" s="16">
        <f t="shared" si="4"/>
        <v>4</v>
      </c>
      <c r="N46" s="16" t="str">
        <f>INDEX(Escalas!$F$2:$F$5,MATCH(M46,Escalas!$E$2:$E$5,1))</f>
        <v>Bajo</v>
      </c>
      <c r="O46" s="19" t="s">
        <v>74</v>
      </c>
      <c r="P46" s="19" t="s">
        <v>216</v>
      </c>
      <c r="Q46">
        <f t="shared" si="5"/>
        <v>6.0010599999999998</v>
      </c>
    </row>
    <row r="47" spans="1:17" ht="34.5" customHeight="1" x14ac:dyDescent="0.25">
      <c r="A47" s="14">
        <v>46</v>
      </c>
      <c r="B47" s="16" t="str">
        <f>Inventario_Activos!B6</f>
        <v>Producción</v>
      </c>
      <c r="C47" s="16" t="str">
        <f>Inventario_Activos!C6</f>
        <v>Hardware</v>
      </c>
      <c r="D47" s="16" t="str">
        <f>Inventario_Activos!D6</f>
        <v>Firewall / Router de borde</v>
      </c>
      <c r="E47" s="19" t="s">
        <v>92</v>
      </c>
      <c r="F47" s="19" t="s">
        <v>217</v>
      </c>
      <c r="G47" s="19" t="s">
        <v>218</v>
      </c>
      <c r="H47" s="15">
        <v>3</v>
      </c>
      <c r="I47" s="15">
        <v>4</v>
      </c>
      <c r="J47" s="16">
        <f t="shared" si="3"/>
        <v>12</v>
      </c>
      <c r="K47" s="16" t="str">
        <f>INDEX(Escalas!$F$2:$F$5,MATCH(J47,Escalas!$E$2:$E$5,1))</f>
        <v>Alto</v>
      </c>
      <c r="L47" s="16">
        <f>INDEX(Inventario_Activos!$I$2:$I$16,MATCH(D47,Inventario_Activos!$D$2:$D$16,0))</f>
        <v>3</v>
      </c>
      <c r="M47" s="16">
        <f t="shared" si="4"/>
        <v>7</v>
      </c>
      <c r="N47" s="16" t="str">
        <f>INDEX(Escalas!$F$2:$F$5,MATCH(M47,Escalas!$E$2:$E$5,1))</f>
        <v>Moderado</v>
      </c>
      <c r="O47" s="19" t="s">
        <v>74</v>
      </c>
      <c r="P47" s="19" t="s">
        <v>219</v>
      </c>
      <c r="Q47">
        <f t="shared" si="5"/>
        <v>12.001049999999999</v>
      </c>
    </row>
    <row r="48" spans="1:17" ht="34.5" customHeight="1" x14ac:dyDescent="0.25">
      <c r="A48" s="14">
        <v>47</v>
      </c>
      <c r="B48" s="16" t="str">
        <f>Inventario_Activos!B6</f>
        <v>Producción</v>
      </c>
      <c r="C48" s="16" t="str">
        <f>Inventario_Activos!C6</f>
        <v>Hardware</v>
      </c>
      <c r="D48" s="16" t="str">
        <f>Inventario_Activos!D6</f>
        <v>Firewall / Router de borde</v>
      </c>
      <c r="E48" s="19" t="s">
        <v>96</v>
      </c>
      <c r="F48" s="19" t="s">
        <v>220</v>
      </c>
      <c r="G48" s="19" t="s">
        <v>221</v>
      </c>
      <c r="H48" s="15">
        <v>3</v>
      </c>
      <c r="I48" s="15">
        <v>4</v>
      </c>
      <c r="J48" s="16">
        <f t="shared" si="3"/>
        <v>12</v>
      </c>
      <c r="K48" s="16" t="str">
        <f>INDEX(Escalas!$F$2:$F$5,MATCH(J48,Escalas!$E$2:$E$5,1))</f>
        <v>Alto</v>
      </c>
      <c r="L48" s="16">
        <f>INDEX(Inventario_Activos!$I$2:$I$16,MATCH(D48,Inventario_Activos!$D$2:$D$16,0))</f>
        <v>3</v>
      </c>
      <c r="M48" s="16">
        <f t="shared" si="4"/>
        <v>7</v>
      </c>
      <c r="N48" s="16" t="str">
        <f>INDEX(Escalas!$F$2:$F$5,MATCH(M48,Escalas!$E$2:$E$5,1))</f>
        <v>Moderado</v>
      </c>
      <c r="O48" s="19" t="s">
        <v>74</v>
      </c>
      <c r="P48" s="19" t="s">
        <v>222</v>
      </c>
      <c r="Q48">
        <f t="shared" si="5"/>
        <v>12.00104</v>
      </c>
    </row>
    <row r="49" spans="1:17" ht="34.5" customHeight="1" x14ac:dyDescent="0.25">
      <c r="A49" s="14">
        <v>48</v>
      </c>
      <c r="B49" s="16" t="str">
        <f>Inventario_Activos!B6</f>
        <v>Producción</v>
      </c>
      <c r="C49" s="16" t="str">
        <f>Inventario_Activos!C6</f>
        <v>Hardware</v>
      </c>
      <c r="D49" s="16" t="str">
        <f>Inventario_Activos!D6</f>
        <v>Firewall / Router de borde</v>
      </c>
      <c r="E49" s="19" t="s">
        <v>100</v>
      </c>
      <c r="F49" s="19" t="s">
        <v>223</v>
      </c>
      <c r="G49" s="19" t="s">
        <v>224</v>
      </c>
      <c r="H49" s="15">
        <v>2</v>
      </c>
      <c r="I49" s="15">
        <v>5</v>
      </c>
      <c r="J49" s="16">
        <f t="shared" si="3"/>
        <v>10</v>
      </c>
      <c r="K49" s="16" t="str">
        <f>INDEX(Escalas!$F$2:$F$5,MATCH(J49,Escalas!$E$2:$E$5,1))</f>
        <v>Moderado</v>
      </c>
      <c r="L49" s="16">
        <f>INDEX(Inventario_Activos!$I$2:$I$16,MATCH(D49,Inventario_Activos!$D$2:$D$16,0))</f>
        <v>3</v>
      </c>
      <c r="M49" s="16">
        <f t="shared" si="4"/>
        <v>6</v>
      </c>
      <c r="N49" s="16" t="str">
        <f>INDEX(Escalas!$F$2:$F$5,MATCH(M49,Escalas!$E$2:$E$5,1))</f>
        <v>Moderado</v>
      </c>
      <c r="O49" s="19" t="s">
        <v>74</v>
      </c>
      <c r="P49" s="19" t="s">
        <v>225</v>
      </c>
      <c r="Q49">
        <f t="shared" si="5"/>
        <v>10.00103</v>
      </c>
    </row>
    <row r="50" spans="1:17" ht="34.5" customHeight="1" x14ac:dyDescent="0.25">
      <c r="A50" s="14">
        <v>49</v>
      </c>
      <c r="B50" s="16" t="str">
        <f>Inventario_Activos!B6</f>
        <v>Producción</v>
      </c>
      <c r="C50" s="16" t="str">
        <f>Inventario_Activos!C6</f>
        <v>Hardware</v>
      </c>
      <c r="D50" s="16" t="str">
        <f>Inventario_Activos!D6</f>
        <v>Firewall / Router de borde</v>
      </c>
      <c r="E50" s="19" t="s">
        <v>104</v>
      </c>
      <c r="F50" s="19" t="s">
        <v>226</v>
      </c>
      <c r="G50" s="19" t="s">
        <v>227</v>
      </c>
      <c r="H50" s="15">
        <v>3</v>
      </c>
      <c r="I50" s="15">
        <v>5</v>
      </c>
      <c r="J50" s="16">
        <f t="shared" si="3"/>
        <v>15</v>
      </c>
      <c r="K50" s="16" t="str">
        <f>INDEX(Escalas!$F$2:$F$5,MATCH(J50,Escalas!$E$2:$E$5,1))</f>
        <v>Alto</v>
      </c>
      <c r="L50" s="16">
        <f>INDEX(Inventario_Activos!$I$2:$I$16,MATCH(D50,Inventario_Activos!$D$2:$D$16,0))</f>
        <v>3</v>
      </c>
      <c r="M50" s="16">
        <f t="shared" si="4"/>
        <v>9</v>
      </c>
      <c r="N50" s="16" t="str">
        <f>INDEX(Escalas!$F$2:$F$5,MATCH(M50,Escalas!$E$2:$E$5,1))</f>
        <v>Moderado</v>
      </c>
      <c r="O50" s="19" t="s">
        <v>74</v>
      </c>
      <c r="P50" s="19" t="s">
        <v>228</v>
      </c>
      <c r="Q50">
        <f t="shared" si="5"/>
        <v>15.00102</v>
      </c>
    </row>
    <row r="51" spans="1:17" ht="34.5" customHeight="1" x14ac:dyDescent="0.25">
      <c r="A51" s="14">
        <v>50</v>
      </c>
      <c r="B51" s="16" t="str">
        <f>Inventario_Activos!B6</f>
        <v>Producción</v>
      </c>
      <c r="C51" s="16" t="str">
        <f>Inventario_Activos!C6</f>
        <v>Hardware</v>
      </c>
      <c r="D51" s="16" t="str">
        <f>Inventario_Activos!D6</f>
        <v>Firewall / Router de borde</v>
      </c>
      <c r="E51" s="19" t="s">
        <v>108</v>
      </c>
      <c r="F51" s="19" t="s">
        <v>229</v>
      </c>
      <c r="G51" s="19" t="s">
        <v>230</v>
      </c>
      <c r="H51" s="15">
        <v>2</v>
      </c>
      <c r="I51" s="15">
        <v>3</v>
      </c>
      <c r="J51" s="16">
        <f t="shared" si="3"/>
        <v>6</v>
      </c>
      <c r="K51" s="16" t="str">
        <f>INDEX(Escalas!$F$2:$F$5,MATCH(J51,Escalas!$E$2:$E$5,1))</f>
        <v>Moderado</v>
      </c>
      <c r="L51" s="16">
        <f>INDEX(Inventario_Activos!$I$2:$I$16,MATCH(D51,Inventario_Activos!$D$2:$D$16,0))</f>
        <v>3</v>
      </c>
      <c r="M51" s="16">
        <f t="shared" si="4"/>
        <v>4</v>
      </c>
      <c r="N51" s="16" t="str">
        <f>INDEX(Escalas!$F$2:$F$5,MATCH(M51,Escalas!$E$2:$E$5,1))</f>
        <v>Bajo</v>
      </c>
      <c r="O51" s="19" t="s">
        <v>74</v>
      </c>
      <c r="P51" s="19" t="s">
        <v>231</v>
      </c>
      <c r="Q51">
        <f t="shared" si="5"/>
        <v>6.00101</v>
      </c>
    </row>
    <row r="52" spans="1:17" ht="45.75" customHeight="1" x14ac:dyDescent="0.25">
      <c r="A52" s="14">
        <v>51</v>
      </c>
      <c r="B52" s="16" t="str">
        <f>Inventario_Activos!B7</f>
        <v>Pruebas</v>
      </c>
      <c r="C52" s="16" t="str">
        <f>Inventario_Activos!C7</f>
        <v>Hardware</v>
      </c>
      <c r="D52" s="16" t="str">
        <f>Inventario_Activos!D7</f>
        <v>Servidor de pruebas</v>
      </c>
      <c r="E52" s="19" t="s">
        <v>71</v>
      </c>
      <c r="F52" s="19" t="s">
        <v>232</v>
      </c>
      <c r="G52" s="19" t="s">
        <v>233</v>
      </c>
      <c r="H52" s="15">
        <v>2</v>
      </c>
      <c r="I52" s="15">
        <v>2</v>
      </c>
      <c r="J52" s="16">
        <f t="shared" si="3"/>
        <v>4</v>
      </c>
      <c r="K52" s="16" t="str">
        <f>INDEX(Escalas!$F$2:$F$5,MATCH(J52,Escalas!$E$2:$E$5,1))</f>
        <v>Bajo</v>
      </c>
      <c r="L52" s="16">
        <f>INDEX(Inventario_Activos!$I$2:$I$16,MATCH(D52,Inventario_Activos!$D$2:$D$16,0))</f>
        <v>3</v>
      </c>
      <c r="M52" s="16">
        <f t="shared" si="4"/>
        <v>2</v>
      </c>
      <c r="N52" s="16" t="str">
        <f>INDEX(Escalas!$F$2:$F$5,MATCH(M52,Escalas!$E$2:$E$5,1))</f>
        <v>Bajo</v>
      </c>
      <c r="O52" s="19" t="s">
        <v>234</v>
      </c>
      <c r="P52" s="19" t="s">
        <v>235</v>
      </c>
      <c r="Q52">
        <f t="shared" si="5"/>
        <v>4.0010000000000003</v>
      </c>
    </row>
    <row r="53" spans="1:17" ht="34.5" customHeight="1" x14ac:dyDescent="0.25">
      <c r="A53" s="14">
        <v>52</v>
      </c>
      <c r="B53" s="16" t="str">
        <f>Inventario_Activos!B7</f>
        <v>Pruebas</v>
      </c>
      <c r="C53" s="16" t="str">
        <f>Inventario_Activos!C7</f>
        <v>Hardware</v>
      </c>
      <c r="D53" s="16" t="str">
        <f>Inventario_Activos!D7</f>
        <v>Servidor de pruebas</v>
      </c>
      <c r="E53" s="19" t="s">
        <v>76</v>
      </c>
      <c r="F53" s="19" t="s">
        <v>236</v>
      </c>
      <c r="G53" s="19" t="s">
        <v>237</v>
      </c>
      <c r="H53" s="15">
        <v>3</v>
      </c>
      <c r="I53" s="15">
        <v>4</v>
      </c>
      <c r="J53" s="16">
        <f t="shared" si="3"/>
        <v>12</v>
      </c>
      <c r="K53" s="16" t="str">
        <f>INDEX(Escalas!$F$2:$F$5,MATCH(J53,Escalas!$E$2:$E$5,1))</f>
        <v>Alto</v>
      </c>
      <c r="L53" s="16">
        <f>INDEX(Inventario_Activos!$I$2:$I$16,MATCH(D53,Inventario_Activos!$D$2:$D$16,0))</f>
        <v>3</v>
      </c>
      <c r="M53" s="16">
        <f t="shared" si="4"/>
        <v>7</v>
      </c>
      <c r="N53" s="16" t="str">
        <f>INDEX(Escalas!$F$2:$F$5,MATCH(M53,Escalas!$E$2:$E$5,1))</f>
        <v>Moderado</v>
      </c>
      <c r="O53" s="19" t="s">
        <v>74</v>
      </c>
      <c r="P53" s="19" t="s">
        <v>238</v>
      </c>
      <c r="Q53">
        <f t="shared" si="5"/>
        <v>12.00099</v>
      </c>
    </row>
    <row r="54" spans="1:17" ht="45.75" customHeight="1" x14ac:dyDescent="0.25">
      <c r="A54" s="14">
        <v>53</v>
      </c>
      <c r="B54" s="16" t="str">
        <f>Inventario_Activos!B7</f>
        <v>Pruebas</v>
      </c>
      <c r="C54" s="16" t="str">
        <f>Inventario_Activos!C7</f>
        <v>Hardware</v>
      </c>
      <c r="D54" s="16" t="str">
        <f>Inventario_Activos!D7</f>
        <v>Servidor de pruebas</v>
      </c>
      <c r="E54" s="19" t="s">
        <v>80</v>
      </c>
      <c r="F54" s="19" t="s">
        <v>239</v>
      </c>
      <c r="G54" s="19" t="s">
        <v>240</v>
      </c>
      <c r="H54" s="15">
        <v>3</v>
      </c>
      <c r="I54" s="15">
        <v>3</v>
      </c>
      <c r="J54" s="16">
        <f t="shared" si="3"/>
        <v>9</v>
      </c>
      <c r="K54" s="16" t="str">
        <f>INDEX(Escalas!$F$2:$F$5,MATCH(J54,Escalas!$E$2:$E$5,1))</f>
        <v>Moderado</v>
      </c>
      <c r="L54" s="16">
        <f>INDEX(Inventario_Activos!$I$2:$I$16,MATCH(D54,Inventario_Activos!$D$2:$D$16,0))</f>
        <v>3</v>
      </c>
      <c r="M54" s="16">
        <f t="shared" si="4"/>
        <v>5</v>
      </c>
      <c r="N54" s="16" t="str">
        <f>INDEX(Escalas!$F$2:$F$5,MATCH(M54,Escalas!$E$2:$E$5,1))</f>
        <v>Bajo</v>
      </c>
      <c r="O54" s="19" t="s">
        <v>74</v>
      </c>
      <c r="P54" s="19" t="s">
        <v>241</v>
      </c>
      <c r="Q54">
        <f t="shared" si="5"/>
        <v>9.0009800000000002</v>
      </c>
    </row>
    <row r="55" spans="1:17" ht="34.5" customHeight="1" x14ac:dyDescent="0.25">
      <c r="A55" s="14">
        <v>54</v>
      </c>
      <c r="B55" s="16" t="str">
        <f>Inventario_Activos!B7</f>
        <v>Pruebas</v>
      </c>
      <c r="C55" s="16" t="str">
        <f>Inventario_Activos!C7</f>
        <v>Hardware</v>
      </c>
      <c r="D55" s="16" t="str">
        <f>Inventario_Activos!D7</f>
        <v>Servidor de pruebas</v>
      </c>
      <c r="E55" s="19" t="s">
        <v>84</v>
      </c>
      <c r="F55" s="19" t="s">
        <v>242</v>
      </c>
      <c r="G55" s="19" t="s">
        <v>243</v>
      </c>
      <c r="H55" s="15">
        <v>3</v>
      </c>
      <c r="I55" s="15">
        <v>3</v>
      </c>
      <c r="J55" s="16">
        <f t="shared" si="3"/>
        <v>9</v>
      </c>
      <c r="K55" s="16" t="str">
        <f>INDEX(Escalas!$F$2:$F$5,MATCH(J55,Escalas!$E$2:$E$5,1))</f>
        <v>Moderado</v>
      </c>
      <c r="L55" s="16">
        <f>INDEX(Inventario_Activos!$I$2:$I$16,MATCH(D55,Inventario_Activos!$D$2:$D$16,0))</f>
        <v>3</v>
      </c>
      <c r="M55" s="16">
        <f t="shared" si="4"/>
        <v>5</v>
      </c>
      <c r="N55" s="16" t="str">
        <f>INDEX(Escalas!$F$2:$F$5,MATCH(M55,Escalas!$E$2:$E$5,1))</f>
        <v>Bajo</v>
      </c>
      <c r="O55" s="19" t="s">
        <v>74</v>
      </c>
      <c r="P55" s="19" t="s">
        <v>244</v>
      </c>
      <c r="Q55">
        <f t="shared" si="5"/>
        <v>9.0009700000000006</v>
      </c>
    </row>
    <row r="56" spans="1:17" ht="34.5" customHeight="1" x14ac:dyDescent="0.25">
      <c r="A56" s="14">
        <v>55</v>
      </c>
      <c r="B56" s="16" t="str">
        <f>Inventario_Activos!B7</f>
        <v>Pruebas</v>
      </c>
      <c r="C56" s="16" t="str">
        <f>Inventario_Activos!C7</f>
        <v>Hardware</v>
      </c>
      <c r="D56" s="16" t="str">
        <f>Inventario_Activos!D7</f>
        <v>Servidor de pruebas</v>
      </c>
      <c r="E56" s="19" t="s">
        <v>88</v>
      </c>
      <c r="F56" s="19" t="s">
        <v>245</v>
      </c>
      <c r="G56" s="19" t="s">
        <v>246</v>
      </c>
      <c r="H56" s="15">
        <v>3</v>
      </c>
      <c r="I56" s="15">
        <v>4</v>
      </c>
      <c r="J56" s="16">
        <f t="shared" si="3"/>
        <v>12</v>
      </c>
      <c r="K56" s="16" t="str">
        <f>INDEX(Escalas!$F$2:$F$5,MATCH(J56,Escalas!$E$2:$E$5,1))</f>
        <v>Alto</v>
      </c>
      <c r="L56" s="16">
        <f>INDEX(Inventario_Activos!$I$2:$I$16,MATCH(D56,Inventario_Activos!$D$2:$D$16,0))</f>
        <v>3</v>
      </c>
      <c r="M56" s="16">
        <f t="shared" si="4"/>
        <v>7</v>
      </c>
      <c r="N56" s="16" t="str">
        <f>INDEX(Escalas!$F$2:$F$5,MATCH(M56,Escalas!$E$2:$E$5,1))</f>
        <v>Moderado</v>
      </c>
      <c r="O56" s="19" t="s">
        <v>74</v>
      </c>
      <c r="P56" s="19" t="s">
        <v>247</v>
      </c>
      <c r="Q56">
        <f t="shared" si="5"/>
        <v>12.000959999999999</v>
      </c>
    </row>
    <row r="57" spans="1:17" ht="34.5" customHeight="1" x14ac:dyDescent="0.25">
      <c r="A57" s="14">
        <v>56</v>
      </c>
      <c r="B57" s="16" t="str">
        <f>Inventario_Activos!B7</f>
        <v>Pruebas</v>
      </c>
      <c r="C57" s="16" t="str">
        <f>Inventario_Activos!C7</f>
        <v>Hardware</v>
      </c>
      <c r="D57" s="16" t="str">
        <f>Inventario_Activos!D7</f>
        <v>Servidor de pruebas</v>
      </c>
      <c r="E57" s="19" t="s">
        <v>92</v>
      </c>
      <c r="F57" s="19" t="s">
        <v>248</v>
      </c>
      <c r="G57" s="19" t="s">
        <v>249</v>
      </c>
      <c r="H57" s="15">
        <v>3</v>
      </c>
      <c r="I57" s="15">
        <v>3</v>
      </c>
      <c r="J57" s="16">
        <f t="shared" si="3"/>
        <v>9</v>
      </c>
      <c r="K57" s="16" t="str">
        <f>INDEX(Escalas!$F$2:$F$5,MATCH(J57,Escalas!$E$2:$E$5,1))</f>
        <v>Moderado</v>
      </c>
      <c r="L57" s="16">
        <f>INDEX(Inventario_Activos!$I$2:$I$16,MATCH(D57,Inventario_Activos!$D$2:$D$16,0))</f>
        <v>3</v>
      </c>
      <c r="M57" s="16">
        <f t="shared" si="4"/>
        <v>5</v>
      </c>
      <c r="N57" s="16" t="str">
        <f>INDEX(Escalas!$F$2:$F$5,MATCH(M57,Escalas!$E$2:$E$5,1))</f>
        <v>Bajo</v>
      </c>
      <c r="O57" s="19" t="s">
        <v>74</v>
      </c>
      <c r="P57" s="19" t="s">
        <v>250</v>
      </c>
      <c r="Q57">
        <f t="shared" si="5"/>
        <v>9.0009499999999996</v>
      </c>
    </row>
    <row r="58" spans="1:17" ht="34.5" customHeight="1" x14ac:dyDescent="0.25">
      <c r="A58" s="14">
        <v>57</v>
      </c>
      <c r="B58" s="16" t="str">
        <f>Inventario_Activos!B7</f>
        <v>Pruebas</v>
      </c>
      <c r="C58" s="16" t="str">
        <f>Inventario_Activos!C7</f>
        <v>Hardware</v>
      </c>
      <c r="D58" s="16" t="str">
        <f>Inventario_Activos!D7</f>
        <v>Servidor de pruebas</v>
      </c>
      <c r="E58" s="19" t="s">
        <v>96</v>
      </c>
      <c r="F58" s="19" t="s">
        <v>251</v>
      </c>
      <c r="G58" s="19" t="s">
        <v>252</v>
      </c>
      <c r="H58" s="15">
        <v>3</v>
      </c>
      <c r="I58" s="15">
        <v>2</v>
      </c>
      <c r="J58" s="16">
        <f t="shared" si="3"/>
        <v>6</v>
      </c>
      <c r="K58" s="16" t="str">
        <f>INDEX(Escalas!$F$2:$F$5,MATCH(J58,Escalas!$E$2:$E$5,1))</f>
        <v>Moderado</v>
      </c>
      <c r="L58" s="16">
        <f>INDEX(Inventario_Activos!$I$2:$I$16,MATCH(D58,Inventario_Activos!$D$2:$D$16,0))</f>
        <v>3</v>
      </c>
      <c r="M58" s="16">
        <f t="shared" si="4"/>
        <v>4</v>
      </c>
      <c r="N58" s="16" t="str">
        <f>INDEX(Escalas!$F$2:$F$5,MATCH(M58,Escalas!$E$2:$E$5,1))</f>
        <v>Bajo</v>
      </c>
      <c r="O58" s="19" t="s">
        <v>74</v>
      </c>
      <c r="P58" s="19" t="s">
        <v>253</v>
      </c>
      <c r="Q58">
        <f t="shared" si="5"/>
        <v>6.0009399999999999</v>
      </c>
    </row>
    <row r="59" spans="1:17" ht="34.5" customHeight="1" x14ac:dyDescent="0.25">
      <c r="A59" s="14">
        <v>58</v>
      </c>
      <c r="B59" s="16" t="str">
        <f>Inventario_Activos!B7</f>
        <v>Pruebas</v>
      </c>
      <c r="C59" s="16" t="str">
        <f>Inventario_Activos!C7</f>
        <v>Hardware</v>
      </c>
      <c r="D59" s="16" t="str">
        <f>Inventario_Activos!D7</f>
        <v>Servidor de pruebas</v>
      </c>
      <c r="E59" s="19" t="s">
        <v>100</v>
      </c>
      <c r="F59" s="19" t="s">
        <v>254</v>
      </c>
      <c r="G59" s="19" t="s">
        <v>255</v>
      </c>
      <c r="H59" s="15">
        <v>2</v>
      </c>
      <c r="I59" s="15">
        <v>2</v>
      </c>
      <c r="J59" s="16">
        <f t="shared" si="3"/>
        <v>4</v>
      </c>
      <c r="K59" s="16" t="str">
        <f>INDEX(Escalas!$F$2:$F$5,MATCH(J59,Escalas!$E$2:$E$5,1))</f>
        <v>Bajo</v>
      </c>
      <c r="L59" s="16">
        <f>INDEX(Inventario_Activos!$I$2:$I$16,MATCH(D59,Inventario_Activos!$D$2:$D$16,0))</f>
        <v>3</v>
      </c>
      <c r="M59" s="16">
        <f t="shared" si="4"/>
        <v>2</v>
      </c>
      <c r="N59" s="16" t="str">
        <f>INDEX(Escalas!$F$2:$F$5,MATCH(M59,Escalas!$E$2:$E$5,1))</f>
        <v>Bajo</v>
      </c>
      <c r="O59" s="19" t="s">
        <v>234</v>
      </c>
      <c r="P59" s="19" t="s">
        <v>256</v>
      </c>
      <c r="Q59">
        <f t="shared" si="5"/>
        <v>4.0009300000000003</v>
      </c>
    </row>
    <row r="60" spans="1:17" ht="34.5" customHeight="1" x14ac:dyDescent="0.25">
      <c r="A60" s="14">
        <v>59</v>
      </c>
      <c r="B60" s="16" t="str">
        <f>Inventario_Activos!B7</f>
        <v>Pruebas</v>
      </c>
      <c r="C60" s="16" t="str">
        <f>Inventario_Activos!C7</f>
        <v>Hardware</v>
      </c>
      <c r="D60" s="16" t="str">
        <f>Inventario_Activos!D7</f>
        <v>Servidor de pruebas</v>
      </c>
      <c r="E60" s="19" t="s">
        <v>104</v>
      </c>
      <c r="F60" s="19" t="s">
        <v>257</v>
      </c>
      <c r="G60" s="19" t="s">
        <v>258</v>
      </c>
      <c r="H60" s="15">
        <v>4</v>
      </c>
      <c r="I60" s="15">
        <v>4</v>
      </c>
      <c r="J60" s="16">
        <f t="shared" si="3"/>
        <v>16</v>
      </c>
      <c r="K60" s="16" t="str">
        <f>INDEX(Escalas!$F$2:$F$5,MATCH(J60,Escalas!$E$2:$E$5,1))</f>
        <v>Alto</v>
      </c>
      <c r="L60" s="16">
        <f>INDEX(Inventario_Activos!$I$2:$I$16,MATCH(D60,Inventario_Activos!$D$2:$D$16,0))</f>
        <v>3</v>
      </c>
      <c r="M60" s="16">
        <f t="shared" si="4"/>
        <v>10</v>
      </c>
      <c r="N60" s="16" t="str">
        <f>INDEX(Escalas!$F$2:$F$5,MATCH(M60,Escalas!$E$2:$E$5,1))</f>
        <v>Moderado</v>
      </c>
      <c r="O60" s="19" t="s">
        <v>74</v>
      </c>
      <c r="P60" s="19" t="s">
        <v>259</v>
      </c>
      <c r="Q60">
        <f t="shared" si="5"/>
        <v>16.000920000000001</v>
      </c>
    </row>
    <row r="61" spans="1:17" ht="34.5" customHeight="1" x14ac:dyDescent="0.25">
      <c r="A61" s="14">
        <v>60</v>
      </c>
      <c r="B61" s="16" t="str">
        <f>Inventario_Activos!B7</f>
        <v>Pruebas</v>
      </c>
      <c r="C61" s="16" t="str">
        <f>Inventario_Activos!C7</f>
        <v>Hardware</v>
      </c>
      <c r="D61" s="16" t="str">
        <f>Inventario_Activos!D7</f>
        <v>Servidor de pruebas</v>
      </c>
      <c r="E61" s="19" t="s">
        <v>108</v>
      </c>
      <c r="F61" s="19" t="s">
        <v>260</v>
      </c>
      <c r="G61" s="19" t="s">
        <v>261</v>
      </c>
      <c r="H61" s="15">
        <v>3</v>
      </c>
      <c r="I61" s="15">
        <v>3</v>
      </c>
      <c r="J61" s="16">
        <f t="shared" si="3"/>
        <v>9</v>
      </c>
      <c r="K61" s="16" t="str">
        <f>INDEX(Escalas!$F$2:$F$5,MATCH(J61,Escalas!$E$2:$E$5,1))</f>
        <v>Moderado</v>
      </c>
      <c r="L61" s="16">
        <f>INDEX(Inventario_Activos!$I$2:$I$16,MATCH(D61,Inventario_Activos!$D$2:$D$16,0))</f>
        <v>3</v>
      </c>
      <c r="M61" s="16">
        <f t="shared" si="4"/>
        <v>5</v>
      </c>
      <c r="N61" s="16" t="str">
        <f>INDEX(Escalas!$F$2:$F$5,MATCH(M61,Escalas!$E$2:$E$5,1))</f>
        <v>Bajo</v>
      </c>
      <c r="O61" s="19" t="s">
        <v>74</v>
      </c>
      <c r="P61" s="19" t="s">
        <v>262</v>
      </c>
      <c r="Q61">
        <f t="shared" si="5"/>
        <v>9.0009099999999993</v>
      </c>
    </row>
    <row r="62" spans="1:17" ht="45.75" customHeight="1" x14ac:dyDescent="0.25">
      <c r="A62" s="14">
        <v>61</v>
      </c>
      <c r="B62" s="16" t="str">
        <f>Inventario_Activos!B8</f>
        <v>Pruebas</v>
      </c>
      <c r="C62" s="16" t="str">
        <f>Inventario_Activos!C8</f>
        <v>Software</v>
      </c>
      <c r="D62" s="16" t="str">
        <f>Inventario_Activos!D8</f>
        <v>Ambiente de staging web</v>
      </c>
      <c r="E62" s="19" t="s">
        <v>71</v>
      </c>
      <c r="F62" s="19" t="s">
        <v>263</v>
      </c>
      <c r="G62" s="19" t="s">
        <v>264</v>
      </c>
      <c r="H62" s="15">
        <v>2</v>
      </c>
      <c r="I62" s="15">
        <v>2</v>
      </c>
      <c r="J62" s="16">
        <f t="shared" si="3"/>
        <v>4</v>
      </c>
      <c r="K62" s="16" t="str">
        <f>INDEX(Escalas!$F$2:$F$5,MATCH(J62,Escalas!$E$2:$E$5,1))</f>
        <v>Bajo</v>
      </c>
      <c r="L62" s="16">
        <f>INDEX(Inventario_Activos!$I$2:$I$16,MATCH(D62,Inventario_Activos!$D$2:$D$16,0))</f>
        <v>3</v>
      </c>
      <c r="M62" s="16">
        <f t="shared" si="4"/>
        <v>2</v>
      </c>
      <c r="N62" s="16" t="str">
        <f>INDEX(Escalas!$F$2:$F$5,MATCH(M62,Escalas!$E$2:$E$5,1))</f>
        <v>Bajo</v>
      </c>
      <c r="O62" s="19" t="s">
        <v>234</v>
      </c>
      <c r="P62" s="19" t="s">
        <v>265</v>
      </c>
      <c r="Q62">
        <f t="shared" si="5"/>
        <v>4.0008999999999997</v>
      </c>
    </row>
    <row r="63" spans="1:17" ht="34.5" customHeight="1" x14ac:dyDescent="0.25">
      <c r="A63" s="14">
        <v>62</v>
      </c>
      <c r="B63" s="16" t="str">
        <f>Inventario_Activos!B8</f>
        <v>Pruebas</v>
      </c>
      <c r="C63" s="16" t="str">
        <f>Inventario_Activos!C8</f>
        <v>Software</v>
      </c>
      <c r="D63" s="16" t="str">
        <f>Inventario_Activos!D8</f>
        <v>Ambiente de staging web</v>
      </c>
      <c r="E63" s="19" t="s">
        <v>76</v>
      </c>
      <c r="F63" s="19" t="s">
        <v>266</v>
      </c>
      <c r="G63" s="19" t="s">
        <v>267</v>
      </c>
      <c r="H63" s="15">
        <v>3</v>
      </c>
      <c r="I63" s="15">
        <v>4</v>
      </c>
      <c r="J63" s="16">
        <f t="shared" si="3"/>
        <v>12</v>
      </c>
      <c r="K63" s="16" t="str">
        <f>INDEX(Escalas!$F$2:$F$5,MATCH(J63,Escalas!$E$2:$E$5,1))</f>
        <v>Alto</v>
      </c>
      <c r="L63" s="16">
        <f>INDEX(Inventario_Activos!$I$2:$I$16,MATCH(D63,Inventario_Activos!$D$2:$D$16,0))</f>
        <v>3</v>
      </c>
      <c r="M63" s="16">
        <f t="shared" si="4"/>
        <v>7</v>
      </c>
      <c r="N63" s="16" t="str">
        <f>INDEX(Escalas!$F$2:$F$5,MATCH(M63,Escalas!$E$2:$E$5,1))</f>
        <v>Moderado</v>
      </c>
      <c r="O63" s="19" t="s">
        <v>74</v>
      </c>
      <c r="P63" s="19" t="s">
        <v>268</v>
      </c>
      <c r="Q63">
        <f t="shared" si="5"/>
        <v>12.00089</v>
      </c>
    </row>
    <row r="64" spans="1:17" ht="45.75" customHeight="1" x14ac:dyDescent="0.25">
      <c r="A64" s="14">
        <v>63</v>
      </c>
      <c r="B64" s="16" t="str">
        <f>Inventario_Activos!B8</f>
        <v>Pruebas</v>
      </c>
      <c r="C64" s="16" t="str">
        <f>Inventario_Activos!C8</f>
        <v>Software</v>
      </c>
      <c r="D64" s="16" t="str">
        <f>Inventario_Activos!D8</f>
        <v>Ambiente de staging web</v>
      </c>
      <c r="E64" s="19" t="s">
        <v>80</v>
      </c>
      <c r="F64" s="19" t="s">
        <v>269</v>
      </c>
      <c r="G64" s="19" t="s">
        <v>270</v>
      </c>
      <c r="H64" s="15">
        <v>3</v>
      </c>
      <c r="I64" s="15">
        <v>3</v>
      </c>
      <c r="J64" s="16">
        <f t="shared" si="3"/>
        <v>9</v>
      </c>
      <c r="K64" s="16" t="str">
        <f>INDEX(Escalas!$F$2:$F$5,MATCH(J64,Escalas!$E$2:$E$5,1))</f>
        <v>Moderado</v>
      </c>
      <c r="L64" s="16">
        <f>INDEX(Inventario_Activos!$I$2:$I$16,MATCH(D64,Inventario_Activos!$D$2:$D$16,0))</f>
        <v>3</v>
      </c>
      <c r="M64" s="16">
        <f t="shared" si="4"/>
        <v>5</v>
      </c>
      <c r="N64" s="16" t="str">
        <f>INDEX(Escalas!$F$2:$F$5,MATCH(M64,Escalas!$E$2:$E$5,1))</f>
        <v>Bajo</v>
      </c>
      <c r="O64" s="19" t="s">
        <v>74</v>
      </c>
      <c r="P64" s="19" t="s">
        <v>271</v>
      </c>
      <c r="Q64">
        <f t="shared" si="5"/>
        <v>9.0008800000000004</v>
      </c>
    </row>
    <row r="65" spans="1:17" ht="45.75" customHeight="1" x14ac:dyDescent="0.25">
      <c r="A65" s="14">
        <v>64</v>
      </c>
      <c r="B65" s="16" t="str">
        <f>Inventario_Activos!B8</f>
        <v>Pruebas</v>
      </c>
      <c r="C65" s="16" t="str">
        <f>Inventario_Activos!C8</f>
        <v>Software</v>
      </c>
      <c r="D65" s="16" t="str">
        <f>Inventario_Activos!D8</f>
        <v>Ambiente de staging web</v>
      </c>
      <c r="E65" s="19" t="s">
        <v>84</v>
      </c>
      <c r="F65" s="19" t="s">
        <v>272</v>
      </c>
      <c r="G65" s="19" t="s">
        <v>273</v>
      </c>
      <c r="H65" s="15">
        <v>3</v>
      </c>
      <c r="I65" s="15">
        <v>3</v>
      </c>
      <c r="J65" s="16">
        <f t="shared" si="3"/>
        <v>9</v>
      </c>
      <c r="K65" s="16" t="str">
        <f>INDEX(Escalas!$F$2:$F$5,MATCH(J65,Escalas!$E$2:$E$5,1))</f>
        <v>Moderado</v>
      </c>
      <c r="L65" s="16">
        <f>INDEX(Inventario_Activos!$I$2:$I$16,MATCH(D65,Inventario_Activos!$D$2:$D$16,0))</f>
        <v>3</v>
      </c>
      <c r="M65" s="16">
        <f t="shared" si="4"/>
        <v>5</v>
      </c>
      <c r="N65" s="16" t="str">
        <f>INDEX(Escalas!$F$2:$F$5,MATCH(M65,Escalas!$E$2:$E$5,1))</f>
        <v>Bajo</v>
      </c>
      <c r="O65" s="19" t="s">
        <v>74</v>
      </c>
      <c r="P65" s="19" t="s">
        <v>274</v>
      </c>
      <c r="Q65">
        <f t="shared" si="5"/>
        <v>9.0008700000000008</v>
      </c>
    </row>
    <row r="66" spans="1:17" ht="34.5" customHeight="1" x14ac:dyDescent="0.25">
      <c r="A66" s="14">
        <v>65</v>
      </c>
      <c r="B66" s="16" t="str">
        <f>Inventario_Activos!B8</f>
        <v>Pruebas</v>
      </c>
      <c r="C66" s="16" t="str">
        <f>Inventario_Activos!C8</f>
        <v>Software</v>
      </c>
      <c r="D66" s="16" t="str">
        <f>Inventario_Activos!D8</f>
        <v>Ambiente de staging web</v>
      </c>
      <c r="E66" s="19" t="s">
        <v>88</v>
      </c>
      <c r="F66" s="19" t="s">
        <v>275</v>
      </c>
      <c r="G66" s="19" t="s">
        <v>276</v>
      </c>
      <c r="H66" s="15">
        <v>3</v>
      </c>
      <c r="I66" s="15">
        <v>5</v>
      </c>
      <c r="J66" s="16">
        <f t="shared" ref="J66:J97" si="6">H66*I66</f>
        <v>15</v>
      </c>
      <c r="K66" s="16" t="str">
        <f>INDEX(Escalas!$F$2:$F$5,MATCH(J66,Escalas!$E$2:$E$5,1))</f>
        <v>Alto</v>
      </c>
      <c r="L66" s="16">
        <f>INDEX(Inventario_Activos!$I$2:$I$16,MATCH(D66,Inventario_Activos!$D$2:$D$16,0))</f>
        <v>3</v>
      </c>
      <c r="M66" s="16">
        <f t="shared" ref="M66:M97" si="7">ROUND(J66*L66/5,0)</f>
        <v>9</v>
      </c>
      <c r="N66" s="16" t="str">
        <f>INDEX(Escalas!$F$2:$F$5,MATCH(M66,Escalas!$E$2:$E$5,1))</f>
        <v>Moderado</v>
      </c>
      <c r="O66" s="19" t="s">
        <v>74</v>
      </c>
      <c r="P66" s="19" t="s">
        <v>277</v>
      </c>
      <c r="Q66">
        <f t="shared" ref="Q66:Q97" si="8">J66+(152-ROW())/100000</f>
        <v>15.000859999999999</v>
      </c>
    </row>
    <row r="67" spans="1:17" ht="34.5" customHeight="1" x14ac:dyDescent="0.25">
      <c r="A67" s="14">
        <v>66</v>
      </c>
      <c r="B67" s="16" t="str">
        <f>Inventario_Activos!B8</f>
        <v>Pruebas</v>
      </c>
      <c r="C67" s="16" t="str">
        <f>Inventario_Activos!C8</f>
        <v>Software</v>
      </c>
      <c r="D67" s="16" t="str">
        <f>Inventario_Activos!D8</f>
        <v>Ambiente de staging web</v>
      </c>
      <c r="E67" s="19" t="s">
        <v>92</v>
      </c>
      <c r="F67" s="19" t="s">
        <v>278</v>
      </c>
      <c r="G67" s="19" t="s">
        <v>279</v>
      </c>
      <c r="H67" s="15">
        <v>3</v>
      </c>
      <c r="I67" s="15">
        <v>3</v>
      </c>
      <c r="J67" s="16">
        <f t="shared" si="6"/>
        <v>9</v>
      </c>
      <c r="K67" s="16" t="str">
        <f>INDEX(Escalas!$F$2:$F$5,MATCH(J67,Escalas!$E$2:$E$5,1))</f>
        <v>Moderado</v>
      </c>
      <c r="L67" s="16">
        <f>INDEX(Inventario_Activos!$I$2:$I$16,MATCH(D67,Inventario_Activos!$D$2:$D$16,0))</f>
        <v>3</v>
      </c>
      <c r="M67" s="16">
        <f t="shared" si="7"/>
        <v>5</v>
      </c>
      <c r="N67" s="16" t="str">
        <f>INDEX(Escalas!$F$2:$F$5,MATCH(M67,Escalas!$E$2:$E$5,1))</f>
        <v>Bajo</v>
      </c>
      <c r="O67" s="19" t="s">
        <v>74</v>
      </c>
      <c r="P67" s="19" t="s">
        <v>280</v>
      </c>
      <c r="Q67">
        <f t="shared" si="8"/>
        <v>9.0008499999999998</v>
      </c>
    </row>
    <row r="68" spans="1:17" ht="34.5" customHeight="1" x14ac:dyDescent="0.25">
      <c r="A68" s="14">
        <v>67</v>
      </c>
      <c r="B68" s="16" t="str">
        <f>Inventario_Activos!B8</f>
        <v>Pruebas</v>
      </c>
      <c r="C68" s="16" t="str">
        <f>Inventario_Activos!C8</f>
        <v>Software</v>
      </c>
      <c r="D68" s="16" t="str">
        <f>Inventario_Activos!D8</f>
        <v>Ambiente de staging web</v>
      </c>
      <c r="E68" s="19" t="s">
        <v>96</v>
      </c>
      <c r="F68" s="19" t="s">
        <v>281</v>
      </c>
      <c r="G68" s="19" t="s">
        <v>282</v>
      </c>
      <c r="H68" s="15">
        <v>3</v>
      </c>
      <c r="I68" s="15">
        <v>3</v>
      </c>
      <c r="J68" s="16">
        <f t="shared" si="6"/>
        <v>9</v>
      </c>
      <c r="K68" s="16" t="str">
        <f>INDEX(Escalas!$F$2:$F$5,MATCH(J68,Escalas!$E$2:$E$5,1))</f>
        <v>Moderado</v>
      </c>
      <c r="L68" s="16">
        <f>INDEX(Inventario_Activos!$I$2:$I$16,MATCH(D68,Inventario_Activos!$D$2:$D$16,0))</f>
        <v>3</v>
      </c>
      <c r="M68" s="16">
        <f t="shared" si="7"/>
        <v>5</v>
      </c>
      <c r="N68" s="16" t="str">
        <f>INDEX(Escalas!$F$2:$F$5,MATCH(M68,Escalas!$E$2:$E$5,1))</f>
        <v>Bajo</v>
      </c>
      <c r="O68" s="19" t="s">
        <v>74</v>
      </c>
      <c r="P68" s="19" t="s">
        <v>283</v>
      </c>
      <c r="Q68">
        <f t="shared" si="8"/>
        <v>9.0008400000000002</v>
      </c>
    </row>
    <row r="69" spans="1:17" ht="34.5" customHeight="1" x14ac:dyDescent="0.25">
      <c r="A69" s="14">
        <v>68</v>
      </c>
      <c r="B69" s="16" t="str">
        <f>Inventario_Activos!B8</f>
        <v>Pruebas</v>
      </c>
      <c r="C69" s="16" t="str">
        <f>Inventario_Activos!C8</f>
        <v>Software</v>
      </c>
      <c r="D69" s="16" t="str">
        <f>Inventario_Activos!D8</f>
        <v>Ambiente de staging web</v>
      </c>
      <c r="E69" s="19" t="s">
        <v>100</v>
      </c>
      <c r="F69" s="19" t="s">
        <v>284</v>
      </c>
      <c r="G69" s="19" t="s">
        <v>285</v>
      </c>
      <c r="H69" s="15">
        <v>2</v>
      </c>
      <c r="I69" s="15">
        <v>2</v>
      </c>
      <c r="J69" s="16">
        <f t="shared" si="6"/>
        <v>4</v>
      </c>
      <c r="K69" s="16" t="str">
        <f>INDEX(Escalas!$F$2:$F$5,MATCH(J69,Escalas!$E$2:$E$5,1))</f>
        <v>Bajo</v>
      </c>
      <c r="L69" s="16">
        <f>INDEX(Inventario_Activos!$I$2:$I$16,MATCH(D69,Inventario_Activos!$D$2:$D$16,0))</f>
        <v>3</v>
      </c>
      <c r="M69" s="16">
        <f t="shared" si="7"/>
        <v>2</v>
      </c>
      <c r="N69" s="16" t="str">
        <f>INDEX(Escalas!$F$2:$F$5,MATCH(M69,Escalas!$E$2:$E$5,1))</f>
        <v>Bajo</v>
      </c>
      <c r="O69" s="19" t="s">
        <v>234</v>
      </c>
      <c r="P69" s="19" t="s">
        <v>286</v>
      </c>
      <c r="Q69">
        <f t="shared" si="8"/>
        <v>4.0008299999999997</v>
      </c>
    </row>
    <row r="70" spans="1:17" ht="34.5" customHeight="1" x14ac:dyDescent="0.25">
      <c r="A70" s="14">
        <v>69</v>
      </c>
      <c r="B70" s="16" t="str">
        <f>Inventario_Activos!B8</f>
        <v>Pruebas</v>
      </c>
      <c r="C70" s="16" t="str">
        <f>Inventario_Activos!C8</f>
        <v>Software</v>
      </c>
      <c r="D70" s="16" t="str">
        <f>Inventario_Activos!D8</f>
        <v>Ambiente de staging web</v>
      </c>
      <c r="E70" s="19" t="s">
        <v>104</v>
      </c>
      <c r="F70" s="19" t="s">
        <v>287</v>
      </c>
      <c r="G70" s="19" t="s">
        <v>288</v>
      </c>
      <c r="H70" s="15">
        <v>3</v>
      </c>
      <c r="I70" s="15">
        <v>4</v>
      </c>
      <c r="J70" s="16">
        <f t="shared" si="6"/>
        <v>12</v>
      </c>
      <c r="K70" s="16" t="str">
        <f>INDEX(Escalas!$F$2:$F$5,MATCH(J70,Escalas!$E$2:$E$5,1))</f>
        <v>Alto</v>
      </c>
      <c r="L70" s="16">
        <f>INDEX(Inventario_Activos!$I$2:$I$16,MATCH(D70,Inventario_Activos!$D$2:$D$16,0))</f>
        <v>3</v>
      </c>
      <c r="M70" s="16">
        <f t="shared" si="7"/>
        <v>7</v>
      </c>
      <c r="N70" s="16" t="str">
        <f>INDEX(Escalas!$F$2:$F$5,MATCH(M70,Escalas!$E$2:$E$5,1))</f>
        <v>Moderado</v>
      </c>
      <c r="O70" s="19" t="s">
        <v>74</v>
      </c>
      <c r="P70" s="19" t="s">
        <v>289</v>
      </c>
      <c r="Q70">
        <f t="shared" si="8"/>
        <v>12.000819999999999</v>
      </c>
    </row>
    <row r="71" spans="1:17" ht="45.75" customHeight="1" x14ac:dyDescent="0.25">
      <c r="A71" s="14">
        <v>70</v>
      </c>
      <c r="B71" s="16" t="str">
        <f>Inventario_Activos!B8</f>
        <v>Pruebas</v>
      </c>
      <c r="C71" s="16" t="str">
        <f>Inventario_Activos!C8</f>
        <v>Software</v>
      </c>
      <c r="D71" s="16" t="str">
        <f>Inventario_Activos!D8</f>
        <v>Ambiente de staging web</v>
      </c>
      <c r="E71" s="19" t="s">
        <v>108</v>
      </c>
      <c r="F71" s="19" t="s">
        <v>290</v>
      </c>
      <c r="G71" s="19" t="s">
        <v>291</v>
      </c>
      <c r="H71" s="15">
        <v>3</v>
      </c>
      <c r="I71" s="15">
        <v>4</v>
      </c>
      <c r="J71" s="16">
        <f t="shared" si="6"/>
        <v>12</v>
      </c>
      <c r="K71" s="16" t="str">
        <f>INDEX(Escalas!$F$2:$F$5,MATCH(J71,Escalas!$E$2:$E$5,1))</f>
        <v>Alto</v>
      </c>
      <c r="L71" s="16">
        <f>INDEX(Inventario_Activos!$I$2:$I$16,MATCH(D71,Inventario_Activos!$D$2:$D$16,0))</f>
        <v>3</v>
      </c>
      <c r="M71" s="16">
        <f t="shared" si="7"/>
        <v>7</v>
      </c>
      <c r="N71" s="16" t="str">
        <f>INDEX(Escalas!$F$2:$F$5,MATCH(M71,Escalas!$E$2:$E$5,1))</f>
        <v>Moderado</v>
      </c>
      <c r="O71" s="19" t="s">
        <v>74</v>
      </c>
      <c r="P71" s="19" t="s">
        <v>292</v>
      </c>
      <c r="Q71">
        <f t="shared" si="8"/>
        <v>12.00081</v>
      </c>
    </row>
    <row r="72" spans="1:17" ht="34.5" customHeight="1" x14ac:dyDescent="0.25">
      <c r="A72" s="14">
        <v>71</v>
      </c>
      <c r="B72" s="16" t="str">
        <f>Inventario_Activos!B9</f>
        <v>Pruebas</v>
      </c>
      <c r="C72" s="16" t="str">
        <f>Inventario_Activos!C9</f>
        <v>Datos</v>
      </c>
      <c r="D72" s="16" t="str">
        <f>Inventario_Activos!D9</f>
        <v>Datos de prueba anonimizados</v>
      </c>
      <c r="E72" s="19" t="s">
        <v>71</v>
      </c>
      <c r="F72" s="19" t="s">
        <v>293</v>
      </c>
      <c r="G72" s="19" t="s">
        <v>294</v>
      </c>
      <c r="H72" s="15">
        <v>2</v>
      </c>
      <c r="I72" s="15">
        <v>2</v>
      </c>
      <c r="J72" s="16">
        <f t="shared" si="6"/>
        <v>4</v>
      </c>
      <c r="K72" s="16" t="str">
        <f>INDEX(Escalas!$F$2:$F$5,MATCH(J72,Escalas!$E$2:$E$5,1))</f>
        <v>Bajo</v>
      </c>
      <c r="L72" s="16">
        <f>INDEX(Inventario_Activos!$I$2:$I$16,MATCH(D72,Inventario_Activos!$D$2:$D$16,0))</f>
        <v>3</v>
      </c>
      <c r="M72" s="16">
        <f t="shared" si="7"/>
        <v>2</v>
      </c>
      <c r="N72" s="16" t="str">
        <f>INDEX(Escalas!$F$2:$F$5,MATCH(M72,Escalas!$E$2:$E$5,1))</f>
        <v>Bajo</v>
      </c>
      <c r="O72" s="19" t="s">
        <v>234</v>
      </c>
      <c r="P72" s="19" t="s">
        <v>295</v>
      </c>
      <c r="Q72">
        <f t="shared" si="8"/>
        <v>4.0007999999999999</v>
      </c>
    </row>
    <row r="73" spans="1:17" ht="34.5" customHeight="1" x14ac:dyDescent="0.25">
      <c r="A73" s="14">
        <v>72</v>
      </c>
      <c r="B73" s="16" t="str">
        <f>Inventario_Activos!B9</f>
        <v>Pruebas</v>
      </c>
      <c r="C73" s="16" t="str">
        <f>Inventario_Activos!C9</f>
        <v>Datos</v>
      </c>
      <c r="D73" s="16" t="str">
        <f>Inventario_Activos!D9</f>
        <v>Datos de prueba anonimizados</v>
      </c>
      <c r="E73" s="19" t="s">
        <v>76</v>
      </c>
      <c r="F73" s="19" t="s">
        <v>296</v>
      </c>
      <c r="G73" s="19" t="s">
        <v>297</v>
      </c>
      <c r="H73" s="15">
        <v>2</v>
      </c>
      <c r="I73" s="15">
        <v>3</v>
      </c>
      <c r="J73" s="16">
        <f t="shared" si="6"/>
        <v>6</v>
      </c>
      <c r="K73" s="16" t="str">
        <f>INDEX(Escalas!$F$2:$F$5,MATCH(J73,Escalas!$E$2:$E$5,1))</f>
        <v>Moderado</v>
      </c>
      <c r="L73" s="16">
        <f>INDEX(Inventario_Activos!$I$2:$I$16,MATCH(D73,Inventario_Activos!$D$2:$D$16,0))</f>
        <v>3</v>
      </c>
      <c r="M73" s="16">
        <f t="shared" si="7"/>
        <v>4</v>
      </c>
      <c r="N73" s="16" t="str">
        <f>INDEX(Escalas!$F$2:$F$5,MATCH(M73,Escalas!$E$2:$E$5,1))</f>
        <v>Bajo</v>
      </c>
      <c r="O73" s="19" t="s">
        <v>74</v>
      </c>
      <c r="P73" s="19" t="s">
        <v>298</v>
      </c>
      <c r="Q73">
        <f t="shared" si="8"/>
        <v>6.0007900000000003</v>
      </c>
    </row>
    <row r="74" spans="1:17" ht="45.75" customHeight="1" x14ac:dyDescent="0.25">
      <c r="A74" s="14">
        <v>73</v>
      </c>
      <c r="B74" s="16" t="str">
        <f>Inventario_Activos!B9</f>
        <v>Pruebas</v>
      </c>
      <c r="C74" s="16" t="str">
        <f>Inventario_Activos!C9</f>
        <v>Datos</v>
      </c>
      <c r="D74" s="16" t="str">
        <f>Inventario_Activos!D9</f>
        <v>Datos de prueba anonimizados</v>
      </c>
      <c r="E74" s="19" t="s">
        <v>80</v>
      </c>
      <c r="F74" s="19" t="s">
        <v>299</v>
      </c>
      <c r="G74" s="19" t="s">
        <v>300</v>
      </c>
      <c r="H74" s="15">
        <v>3</v>
      </c>
      <c r="I74" s="15">
        <v>3</v>
      </c>
      <c r="J74" s="16">
        <f t="shared" si="6"/>
        <v>9</v>
      </c>
      <c r="K74" s="16" t="str">
        <f>INDEX(Escalas!$F$2:$F$5,MATCH(J74,Escalas!$E$2:$E$5,1))</f>
        <v>Moderado</v>
      </c>
      <c r="L74" s="16">
        <f>INDEX(Inventario_Activos!$I$2:$I$16,MATCH(D74,Inventario_Activos!$D$2:$D$16,0))</f>
        <v>3</v>
      </c>
      <c r="M74" s="16">
        <f t="shared" si="7"/>
        <v>5</v>
      </c>
      <c r="N74" s="16" t="str">
        <f>INDEX(Escalas!$F$2:$F$5,MATCH(M74,Escalas!$E$2:$E$5,1))</f>
        <v>Bajo</v>
      </c>
      <c r="O74" s="19" t="s">
        <v>74</v>
      </c>
      <c r="P74" s="19" t="s">
        <v>301</v>
      </c>
      <c r="Q74">
        <f t="shared" si="8"/>
        <v>9.0007800000000007</v>
      </c>
    </row>
    <row r="75" spans="1:17" ht="34.5" customHeight="1" x14ac:dyDescent="0.25">
      <c r="A75" s="14">
        <v>74</v>
      </c>
      <c r="B75" s="16" t="str">
        <f>Inventario_Activos!B9</f>
        <v>Pruebas</v>
      </c>
      <c r="C75" s="16" t="str">
        <f>Inventario_Activos!C9</f>
        <v>Datos</v>
      </c>
      <c r="D75" s="16" t="str">
        <f>Inventario_Activos!D9</f>
        <v>Datos de prueba anonimizados</v>
      </c>
      <c r="E75" s="19" t="s">
        <v>84</v>
      </c>
      <c r="F75" s="19" t="s">
        <v>302</v>
      </c>
      <c r="G75" s="19" t="s">
        <v>303</v>
      </c>
      <c r="H75" s="15">
        <v>3</v>
      </c>
      <c r="I75" s="15">
        <v>4</v>
      </c>
      <c r="J75" s="16">
        <f t="shared" si="6"/>
        <v>12</v>
      </c>
      <c r="K75" s="16" t="str">
        <f>INDEX(Escalas!$F$2:$F$5,MATCH(J75,Escalas!$E$2:$E$5,1))</f>
        <v>Alto</v>
      </c>
      <c r="L75" s="16">
        <f>INDEX(Inventario_Activos!$I$2:$I$16,MATCH(D75,Inventario_Activos!$D$2:$D$16,0))</f>
        <v>3</v>
      </c>
      <c r="M75" s="16">
        <f t="shared" si="7"/>
        <v>7</v>
      </c>
      <c r="N75" s="16" t="str">
        <f>INDEX(Escalas!$F$2:$F$5,MATCH(M75,Escalas!$E$2:$E$5,1))</f>
        <v>Moderado</v>
      </c>
      <c r="O75" s="19" t="s">
        <v>74</v>
      </c>
      <c r="P75" s="19" t="s">
        <v>304</v>
      </c>
      <c r="Q75">
        <f t="shared" si="8"/>
        <v>12.000769999999999</v>
      </c>
    </row>
    <row r="76" spans="1:17" ht="34.5" customHeight="1" x14ac:dyDescent="0.25">
      <c r="A76" s="14">
        <v>75</v>
      </c>
      <c r="B76" s="16" t="str">
        <f>Inventario_Activos!B9</f>
        <v>Pruebas</v>
      </c>
      <c r="C76" s="16" t="str">
        <f>Inventario_Activos!C9</f>
        <v>Datos</v>
      </c>
      <c r="D76" s="16" t="str">
        <f>Inventario_Activos!D9</f>
        <v>Datos de prueba anonimizados</v>
      </c>
      <c r="E76" s="19" t="s">
        <v>88</v>
      </c>
      <c r="F76" s="19" t="s">
        <v>305</v>
      </c>
      <c r="G76" s="19" t="s">
        <v>306</v>
      </c>
      <c r="H76" s="15">
        <v>3</v>
      </c>
      <c r="I76" s="15">
        <v>4</v>
      </c>
      <c r="J76" s="16">
        <f t="shared" si="6"/>
        <v>12</v>
      </c>
      <c r="K76" s="16" t="str">
        <f>INDEX(Escalas!$F$2:$F$5,MATCH(J76,Escalas!$E$2:$E$5,1))</f>
        <v>Alto</v>
      </c>
      <c r="L76" s="16">
        <f>INDEX(Inventario_Activos!$I$2:$I$16,MATCH(D76,Inventario_Activos!$D$2:$D$16,0))</f>
        <v>3</v>
      </c>
      <c r="M76" s="16">
        <f t="shared" si="7"/>
        <v>7</v>
      </c>
      <c r="N76" s="16" t="str">
        <f>INDEX(Escalas!$F$2:$F$5,MATCH(M76,Escalas!$E$2:$E$5,1))</f>
        <v>Moderado</v>
      </c>
      <c r="O76" s="19" t="s">
        <v>74</v>
      </c>
      <c r="P76" s="19" t="s">
        <v>307</v>
      </c>
      <c r="Q76">
        <f t="shared" si="8"/>
        <v>12.00076</v>
      </c>
    </row>
    <row r="77" spans="1:17" ht="45.75" customHeight="1" x14ac:dyDescent="0.25">
      <c r="A77" s="14">
        <v>76</v>
      </c>
      <c r="B77" s="16" t="str">
        <f>Inventario_Activos!B9</f>
        <v>Pruebas</v>
      </c>
      <c r="C77" s="16" t="str">
        <f>Inventario_Activos!C9</f>
        <v>Datos</v>
      </c>
      <c r="D77" s="16" t="str">
        <f>Inventario_Activos!D9</f>
        <v>Datos de prueba anonimizados</v>
      </c>
      <c r="E77" s="19" t="s">
        <v>92</v>
      </c>
      <c r="F77" s="19" t="s">
        <v>308</v>
      </c>
      <c r="G77" s="19" t="s">
        <v>309</v>
      </c>
      <c r="H77" s="15">
        <v>3</v>
      </c>
      <c r="I77" s="15">
        <v>3</v>
      </c>
      <c r="J77" s="16">
        <f t="shared" si="6"/>
        <v>9</v>
      </c>
      <c r="K77" s="16" t="str">
        <f>INDEX(Escalas!$F$2:$F$5,MATCH(J77,Escalas!$E$2:$E$5,1))</f>
        <v>Moderado</v>
      </c>
      <c r="L77" s="16">
        <f>INDEX(Inventario_Activos!$I$2:$I$16,MATCH(D77,Inventario_Activos!$D$2:$D$16,0))</f>
        <v>3</v>
      </c>
      <c r="M77" s="16">
        <f t="shared" si="7"/>
        <v>5</v>
      </c>
      <c r="N77" s="16" t="str">
        <f>INDEX(Escalas!$F$2:$F$5,MATCH(M77,Escalas!$E$2:$E$5,1))</f>
        <v>Bajo</v>
      </c>
      <c r="O77" s="19" t="s">
        <v>74</v>
      </c>
      <c r="P77" s="19" t="s">
        <v>310</v>
      </c>
      <c r="Q77">
        <f t="shared" si="8"/>
        <v>9.00075</v>
      </c>
    </row>
    <row r="78" spans="1:17" ht="34.5" customHeight="1" x14ac:dyDescent="0.25">
      <c r="A78" s="14">
        <v>77</v>
      </c>
      <c r="B78" s="16" t="str">
        <f>Inventario_Activos!B9</f>
        <v>Pruebas</v>
      </c>
      <c r="C78" s="16" t="str">
        <f>Inventario_Activos!C9</f>
        <v>Datos</v>
      </c>
      <c r="D78" s="16" t="str">
        <f>Inventario_Activos!D9</f>
        <v>Datos de prueba anonimizados</v>
      </c>
      <c r="E78" s="19" t="s">
        <v>96</v>
      </c>
      <c r="F78" s="19" t="s">
        <v>311</v>
      </c>
      <c r="G78" s="19" t="s">
        <v>312</v>
      </c>
      <c r="H78" s="15">
        <v>2</v>
      </c>
      <c r="I78" s="15">
        <v>3</v>
      </c>
      <c r="J78" s="16">
        <f t="shared" si="6"/>
        <v>6</v>
      </c>
      <c r="K78" s="16" t="str">
        <f>INDEX(Escalas!$F$2:$F$5,MATCH(J78,Escalas!$E$2:$E$5,1))</f>
        <v>Moderado</v>
      </c>
      <c r="L78" s="16">
        <f>INDEX(Inventario_Activos!$I$2:$I$16,MATCH(D78,Inventario_Activos!$D$2:$D$16,0))</f>
        <v>3</v>
      </c>
      <c r="M78" s="16">
        <f t="shared" si="7"/>
        <v>4</v>
      </c>
      <c r="N78" s="16" t="str">
        <f>INDEX(Escalas!$F$2:$F$5,MATCH(M78,Escalas!$E$2:$E$5,1))</f>
        <v>Bajo</v>
      </c>
      <c r="O78" s="19" t="s">
        <v>74</v>
      </c>
      <c r="P78" s="19" t="s">
        <v>313</v>
      </c>
      <c r="Q78">
        <f t="shared" si="8"/>
        <v>6.0007400000000004</v>
      </c>
    </row>
    <row r="79" spans="1:17" ht="34.5" customHeight="1" x14ac:dyDescent="0.25">
      <c r="A79" s="14">
        <v>78</v>
      </c>
      <c r="B79" s="16" t="str">
        <f>Inventario_Activos!B9</f>
        <v>Pruebas</v>
      </c>
      <c r="C79" s="16" t="str">
        <f>Inventario_Activos!C9</f>
        <v>Datos</v>
      </c>
      <c r="D79" s="16" t="str">
        <f>Inventario_Activos!D9</f>
        <v>Datos de prueba anonimizados</v>
      </c>
      <c r="E79" s="19" t="s">
        <v>100</v>
      </c>
      <c r="F79" s="19" t="s">
        <v>314</v>
      </c>
      <c r="G79" s="19" t="s">
        <v>315</v>
      </c>
      <c r="H79" s="15">
        <v>2</v>
      </c>
      <c r="I79" s="15">
        <v>2</v>
      </c>
      <c r="J79" s="16">
        <f t="shared" si="6"/>
        <v>4</v>
      </c>
      <c r="K79" s="16" t="str">
        <f>INDEX(Escalas!$F$2:$F$5,MATCH(J79,Escalas!$E$2:$E$5,1))</f>
        <v>Bajo</v>
      </c>
      <c r="L79" s="16">
        <f>INDEX(Inventario_Activos!$I$2:$I$16,MATCH(D79,Inventario_Activos!$D$2:$D$16,0))</f>
        <v>3</v>
      </c>
      <c r="M79" s="16">
        <f t="shared" si="7"/>
        <v>2</v>
      </c>
      <c r="N79" s="16" t="str">
        <f>INDEX(Escalas!$F$2:$F$5,MATCH(M79,Escalas!$E$2:$E$5,1))</f>
        <v>Bajo</v>
      </c>
      <c r="O79" s="19" t="s">
        <v>234</v>
      </c>
      <c r="P79" s="19" t="s">
        <v>316</v>
      </c>
      <c r="Q79">
        <f t="shared" si="8"/>
        <v>4.0007299999999999</v>
      </c>
    </row>
    <row r="80" spans="1:17" ht="57" customHeight="1" x14ac:dyDescent="0.25">
      <c r="A80" s="14">
        <v>79</v>
      </c>
      <c r="B80" s="16" t="str">
        <f>Inventario_Activos!B9</f>
        <v>Pruebas</v>
      </c>
      <c r="C80" s="16" t="str">
        <f>Inventario_Activos!C9</f>
        <v>Datos</v>
      </c>
      <c r="D80" s="16" t="str">
        <f>Inventario_Activos!D9</f>
        <v>Datos de prueba anonimizados</v>
      </c>
      <c r="E80" s="19" t="s">
        <v>104</v>
      </c>
      <c r="F80" s="19" t="s">
        <v>317</v>
      </c>
      <c r="G80" s="19" t="s">
        <v>318</v>
      </c>
      <c r="H80" s="15">
        <v>3</v>
      </c>
      <c r="I80" s="15">
        <v>3</v>
      </c>
      <c r="J80" s="16">
        <f t="shared" si="6"/>
        <v>9</v>
      </c>
      <c r="K80" s="16" t="str">
        <f>INDEX(Escalas!$F$2:$F$5,MATCH(J80,Escalas!$E$2:$E$5,1))</f>
        <v>Moderado</v>
      </c>
      <c r="L80" s="16">
        <f>INDEX(Inventario_Activos!$I$2:$I$16,MATCH(D80,Inventario_Activos!$D$2:$D$16,0))</f>
        <v>3</v>
      </c>
      <c r="M80" s="16">
        <f t="shared" si="7"/>
        <v>5</v>
      </c>
      <c r="N80" s="16" t="str">
        <f>INDEX(Escalas!$F$2:$F$5,MATCH(M80,Escalas!$E$2:$E$5,1))</f>
        <v>Bajo</v>
      </c>
      <c r="O80" s="19" t="s">
        <v>74</v>
      </c>
      <c r="P80" s="19" t="s">
        <v>319</v>
      </c>
      <c r="Q80">
        <f t="shared" si="8"/>
        <v>9.0007199999999994</v>
      </c>
    </row>
    <row r="81" spans="1:17" ht="45.75" customHeight="1" x14ac:dyDescent="0.25">
      <c r="A81" s="14">
        <v>80</v>
      </c>
      <c r="B81" s="16" t="str">
        <f>Inventario_Activos!B9</f>
        <v>Pruebas</v>
      </c>
      <c r="C81" s="16" t="str">
        <f>Inventario_Activos!C9</f>
        <v>Datos</v>
      </c>
      <c r="D81" s="16" t="str">
        <f>Inventario_Activos!D9</f>
        <v>Datos de prueba anonimizados</v>
      </c>
      <c r="E81" s="19" t="s">
        <v>108</v>
      </c>
      <c r="F81" s="19" t="s">
        <v>320</v>
      </c>
      <c r="G81" s="19" t="s">
        <v>321</v>
      </c>
      <c r="H81" s="15">
        <v>3</v>
      </c>
      <c r="I81" s="15">
        <v>3</v>
      </c>
      <c r="J81" s="16">
        <f t="shared" si="6"/>
        <v>9</v>
      </c>
      <c r="K81" s="16" t="str">
        <f>INDEX(Escalas!$F$2:$F$5,MATCH(J81,Escalas!$E$2:$E$5,1))</f>
        <v>Moderado</v>
      </c>
      <c r="L81" s="16">
        <f>INDEX(Inventario_Activos!$I$2:$I$16,MATCH(D81,Inventario_Activos!$D$2:$D$16,0))</f>
        <v>3</v>
      </c>
      <c r="M81" s="16">
        <f t="shared" si="7"/>
        <v>5</v>
      </c>
      <c r="N81" s="16" t="str">
        <f>INDEX(Escalas!$F$2:$F$5,MATCH(M81,Escalas!$E$2:$E$5,1))</f>
        <v>Bajo</v>
      </c>
      <c r="O81" s="19" t="s">
        <v>74</v>
      </c>
      <c r="P81" s="19" t="s">
        <v>322</v>
      </c>
      <c r="Q81">
        <f t="shared" si="8"/>
        <v>9.0007099999999998</v>
      </c>
    </row>
    <row r="82" spans="1:17" ht="25.5" customHeight="1" x14ac:dyDescent="0.25">
      <c r="A82" s="14">
        <v>81</v>
      </c>
      <c r="B82" s="16" t="str">
        <f>Inventario_Activos!B10</f>
        <v>Pruebas</v>
      </c>
      <c r="C82" s="16" t="str">
        <f>Inventario_Activos!C10</f>
        <v>Recursos Humanos</v>
      </c>
      <c r="D82" s="16" t="str">
        <f>Inventario_Activos!D10</f>
        <v>QA Tester</v>
      </c>
      <c r="E82" s="19" t="s">
        <v>71</v>
      </c>
      <c r="F82" s="19" t="s">
        <v>323</v>
      </c>
      <c r="G82" s="19" t="s">
        <v>324</v>
      </c>
      <c r="H82" s="15">
        <v>3</v>
      </c>
      <c r="I82" s="15">
        <v>2</v>
      </c>
      <c r="J82" s="16">
        <f t="shared" si="6"/>
        <v>6</v>
      </c>
      <c r="K82" s="16" t="str">
        <f>INDEX(Escalas!$F$2:$F$5,MATCH(J82,Escalas!$E$2:$E$5,1))</f>
        <v>Moderado</v>
      </c>
      <c r="L82" s="16">
        <f>INDEX(Inventario_Activos!$I$2:$I$16,MATCH(D82,Inventario_Activos!$D$2:$D$16,0))</f>
        <v>3</v>
      </c>
      <c r="M82" s="16">
        <f t="shared" si="7"/>
        <v>4</v>
      </c>
      <c r="N82" s="16" t="str">
        <f>INDEX(Escalas!$F$2:$F$5,MATCH(M82,Escalas!$E$2:$E$5,1))</f>
        <v>Bajo</v>
      </c>
      <c r="O82" s="19" t="s">
        <v>74</v>
      </c>
      <c r="P82" s="19" t="s">
        <v>325</v>
      </c>
      <c r="Q82">
        <f t="shared" si="8"/>
        <v>6.0007000000000001</v>
      </c>
    </row>
    <row r="83" spans="1:17" ht="25.5" customHeight="1" x14ac:dyDescent="0.25">
      <c r="A83" s="14">
        <v>82</v>
      </c>
      <c r="B83" s="16" t="str">
        <f>Inventario_Activos!B10</f>
        <v>Pruebas</v>
      </c>
      <c r="C83" s="16" t="str">
        <f>Inventario_Activos!C10</f>
        <v>Recursos Humanos</v>
      </c>
      <c r="D83" s="16" t="str">
        <f>Inventario_Activos!D10</f>
        <v>QA Tester</v>
      </c>
      <c r="E83" s="19" t="s">
        <v>76</v>
      </c>
      <c r="F83" s="19" t="s">
        <v>326</v>
      </c>
      <c r="G83" s="19" t="s">
        <v>327</v>
      </c>
      <c r="H83" s="15">
        <v>3</v>
      </c>
      <c r="I83" s="15">
        <v>3</v>
      </c>
      <c r="J83" s="16">
        <f t="shared" si="6"/>
        <v>9</v>
      </c>
      <c r="K83" s="16" t="str">
        <f>INDEX(Escalas!$F$2:$F$5,MATCH(J83,Escalas!$E$2:$E$5,1))</f>
        <v>Moderado</v>
      </c>
      <c r="L83" s="16">
        <f>INDEX(Inventario_Activos!$I$2:$I$16,MATCH(D83,Inventario_Activos!$D$2:$D$16,0))</f>
        <v>3</v>
      </c>
      <c r="M83" s="16">
        <f t="shared" si="7"/>
        <v>5</v>
      </c>
      <c r="N83" s="16" t="str">
        <f>INDEX(Escalas!$F$2:$F$5,MATCH(M83,Escalas!$E$2:$E$5,1))</f>
        <v>Bajo</v>
      </c>
      <c r="O83" s="19" t="s">
        <v>74</v>
      </c>
      <c r="P83" s="19" t="s">
        <v>328</v>
      </c>
      <c r="Q83">
        <f t="shared" si="8"/>
        <v>9.0006900000000005</v>
      </c>
    </row>
    <row r="84" spans="1:17" ht="25.5" customHeight="1" x14ac:dyDescent="0.25">
      <c r="A84" s="14">
        <v>83</v>
      </c>
      <c r="B84" s="16" t="str">
        <f>Inventario_Activos!B10</f>
        <v>Pruebas</v>
      </c>
      <c r="C84" s="16" t="str">
        <f>Inventario_Activos!C10</f>
        <v>Recursos Humanos</v>
      </c>
      <c r="D84" s="16" t="str">
        <f>Inventario_Activos!D10</f>
        <v>QA Tester</v>
      </c>
      <c r="E84" s="19" t="s">
        <v>80</v>
      </c>
      <c r="F84" s="19" t="s">
        <v>329</v>
      </c>
      <c r="G84" s="19" t="s">
        <v>330</v>
      </c>
      <c r="H84" s="15">
        <v>3</v>
      </c>
      <c r="I84" s="15">
        <v>3</v>
      </c>
      <c r="J84" s="16">
        <f t="shared" si="6"/>
        <v>9</v>
      </c>
      <c r="K84" s="16" t="str">
        <f>INDEX(Escalas!$F$2:$F$5,MATCH(J84,Escalas!$E$2:$E$5,1))</f>
        <v>Moderado</v>
      </c>
      <c r="L84" s="16">
        <f>INDEX(Inventario_Activos!$I$2:$I$16,MATCH(D84,Inventario_Activos!$D$2:$D$16,0))</f>
        <v>3</v>
      </c>
      <c r="M84" s="16">
        <f t="shared" si="7"/>
        <v>5</v>
      </c>
      <c r="N84" s="16" t="str">
        <f>INDEX(Escalas!$F$2:$F$5,MATCH(M84,Escalas!$E$2:$E$5,1))</f>
        <v>Bajo</v>
      </c>
      <c r="O84" s="19" t="s">
        <v>74</v>
      </c>
      <c r="P84" s="19" t="s">
        <v>331</v>
      </c>
      <c r="Q84">
        <f t="shared" si="8"/>
        <v>9.0006799999999991</v>
      </c>
    </row>
    <row r="85" spans="1:17" ht="25.5" customHeight="1" x14ac:dyDescent="0.25">
      <c r="A85" s="14">
        <v>84</v>
      </c>
      <c r="B85" s="16" t="str">
        <f>Inventario_Activos!B10</f>
        <v>Pruebas</v>
      </c>
      <c r="C85" s="16" t="str">
        <f>Inventario_Activos!C10</f>
        <v>Recursos Humanos</v>
      </c>
      <c r="D85" s="16" t="str">
        <f>Inventario_Activos!D10</f>
        <v>QA Tester</v>
      </c>
      <c r="E85" s="19" t="s">
        <v>84</v>
      </c>
      <c r="F85" s="19" t="s">
        <v>332</v>
      </c>
      <c r="G85" s="19" t="s">
        <v>333</v>
      </c>
      <c r="H85" s="15">
        <v>3</v>
      </c>
      <c r="I85" s="15">
        <v>3</v>
      </c>
      <c r="J85" s="16">
        <f t="shared" si="6"/>
        <v>9</v>
      </c>
      <c r="K85" s="16" t="str">
        <f>INDEX(Escalas!$F$2:$F$5,MATCH(J85,Escalas!$E$2:$E$5,1))</f>
        <v>Moderado</v>
      </c>
      <c r="L85" s="16">
        <f>INDEX(Inventario_Activos!$I$2:$I$16,MATCH(D85,Inventario_Activos!$D$2:$D$16,0))</f>
        <v>3</v>
      </c>
      <c r="M85" s="16">
        <f t="shared" si="7"/>
        <v>5</v>
      </c>
      <c r="N85" s="16" t="str">
        <f>INDEX(Escalas!$F$2:$F$5,MATCH(M85,Escalas!$E$2:$E$5,1))</f>
        <v>Bajo</v>
      </c>
      <c r="O85" s="19" t="s">
        <v>74</v>
      </c>
      <c r="P85" s="19" t="s">
        <v>334</v>
      </c>
      <c r="Q85">
        <f t="shared" si="8"/>
        <v>9.0006699999999995</v>
      </c>
    </row>
    <row r="86" spans="1:17" ht="25.5" customHeight="1" x14ac:dyDescent="0.25">
      <c r="A86" s="14">
        <v>85</v>
      </c>
      <c r="B86" s="16" t="str">
        <f>Inventario_Activos!B10</f>
        <v>Pruebas</v>
      </c>
      <c r="C86" s="16" t="str">
        <f>Inventario_Activos!C10</f>
        <v>Recursos Humanos</v>
      </c>
      <c r="D86" s="16" t="str">
        <f>Inventario_Activos!D10</f>
        <v>QA Tester</v>
      </c>
      <c r="E86" s="19" t="s">
        <v>88</v>
      </c>
      <c r="F86" s="19" t="s">
        <v>335</v>
      </c>
      <c r="G86" s="19" t="s">
        <v>336</v>
      </c>
      <c r="H86" s="15">
        <v>3</v>
      </c>
      <c r="I86" s="15">
        <v>3</v>
      </c>
      <c r="J86" s="16">
        <f t="shared" si="6"/>
        <v>9</v>
      </c>
      <c r="K86" s="16" t="str">
        <f>INDEX(Escalas!$F$2:$F$5,MATCH(J86,Escalas!$E$2:$E$5,1))</f>
        <v>Moderado</v>
      </c>
      <c r="L86" s="16">
        <f>INDEX(Inventario_Activos!$I$2:$I$16,MATCH(D86,Inventario_Activos!$D$2:$D$16,0))</f>
        <v>3</v>
      </c>
      <c r="M86" s="16">
        <f t="shared" si="7"/>
        <v>5</v>
      </c>
      <c r="N86" s="16" t="str">
        <f>INDEX(Escalas!$F$2:$F$5,MATCH(M86,Escalas!$E$2:$E$5,1))</f>
        <v>Bajo</v>
      </c>
      <c r="O86" s="19" t="s">
        <v>74</v>
      </c>
      <c r="P86" s="19" t="s">
        <v>337</v>
      </c>
      <c r="Q86">
        <f t="shared" si="8"/>
        <v>9.0006599999999999</v>
      </c>
    </row>
    <row r="87" spans="1:17" ht="25.5" customHeight="1" x14ac:dyDescent="0.25">
      <c r="A87" s="14">
        <v>86</v>
      </c>
      <c r="B87" s="16" t="str">
        <f>Inventario_Activos!B10</f>
        <v>Pruebas</v>
      </c>
      <c r="C87" s="16" t="str">
        <f>Inventario_Activos!C10</f>
        <v>Recursos Humanos</v>
      </c>
      <c r="D87" s="16" t="str">
        <f>Inventario_Activos!D10</f>
        <v>QA Tester</v>
      </c>
      <c r="E87" s="19" t="s">
        <v>92</v>
      </c>
      <c r="F87" s="19" t="s">
        <v>338</v>
      </c>
      <c r="G87" s="19" t="s">
        <v>339</v>
      </c>
      <c r="H87" s="15">
        <v>3</v>
      </c>
      <c r="I87" s="15">
        <v>3</v>
      </c>
      <c r="J87" s="16">
        <f t="shared" si="6"/>
        <v>9</v>
      </c>
      <c r="K87" s="16" t="str">
        <f>INDEX(Escalas!$F$2:$F$5,MATCH(J87,Escalas!$E$2:$E$5,1))</f>
        <v>Moderado</v>
      </c>
      <c r="L87" s="16">
        <f>INDEX(Inventario_Activos!$I$2:$I$16,MATCH(D87,Inventario_Activos!$D$2:$D$16,0))</f>
        <v>3</v>
      </c>
      <c r="M87" s="16">
        <f t="shared" si="7"/>
        <v>5</v>
      </c>
      <c r="N87" s="16" t="str">
        <f>INDEX(Escalas!$F$2:$F$5,MATCH(M87,Escalas!$E$2:$E$5,1))</f>
        <v>Bajo</v>
      </c>
      <c r="O87" s="19" t="s">
        <v>74</v>
      </c>
      <c r="P87" s="19" t="s">
        <v>340</v>
      </c>
      <c r="Q87">
        <f t="shared" si="8"/>
        <v>9.0006500000000003</v>
      </c>
    </row>
    <row r="88" spans="1:17" ht="25.5" customHeight="1" x14ac:dyDescent="0.25">
      <c r="A88" s="14">
        <v>87</v>
      </c>
      <c r="B88" s="16" t="str">
        <f>Inventario_Activos!B10</f>
        <v>Pruebas</v>
      </c>
      <c r="C88" s="16" t="str">
        <f>Inventario_Activos!C10</f>
        <v>Recursos Humanos</v>
      </c>
      <c r="D88" s="16" t="str">
        <f>Inventario_Activos!D10</f>
        <v>QA Tester</v>
      </c>
      <c r="E88" s="19" t="s">
        <v>96</v>
      </c>
      <c r="F88" s="19" t="s">
        <v>341</v>
      </c>
      <c r="G88" s="19" t="s">
        <v>342</v>
      </c>
      <c r="H88" s="15">
        <v>2</v>
      </c>
      <c r="I88" s="15">
        <v>3</v>
      </c>
      <c r="J88" s="16">
        <f t="shared" si="6"/>
        <v>6</v>
      </c>
      <c r="K88" s="16" t="str">
        <f>INDEX(Escalas!$F$2:$F$5,MATCH(J88,Escalas!$E$2:$E$5,1))</f>
        <v>Moderado</v>
      </c>
      <c r="L88" s="16">
        <f>INDEX(Inventario_Activos!$I$2:$I$16,MATCH(D88,Inventario_Activos!$D$2:$D$16,0))</f>
        <v>3</v>
      </c>
      <c r="M88" s="16">
        <f t="shared" si="7"/>
        <v>4</v>
      </c>
      <c r="N88" s="16" t="str">
        <f>INDEX(Escalas!$F$2:$F$5,MATCH(M88,Escalas!$E$2:$E$5,1))</f>
        <v>Bajo</v>
      </c>
      <c r="O88" s="19" t="s">
        <v>74</v>
      </c>
      <c r="P88" s="19" t="s">
        <v>343</v>
      </c>
      <c r="Q88">
        <f t="shared" si="8"/>
        <v>6.0006399999999998</v>
      </c>
    </row>
    <row r="89" spans="1:17" ht="25.5" customHeight="1" x14ac:dyDescent="0.25">
      <c r="A89" s="14">
        <v>88</v>
      </c>
      <c r="B89" s="16" t="str">
        <f>Inventario_Activos!B10</f>
        <v>Pruebas</v>
      </c>
      <c r="C89" s="16" t="str">
        <f>Inventario_Activos!C10</f>
        <v>Recursos Humanos</v>
      </c>
      <c r="D89" s="16" t="str">
        <f>Inventario_Activos!D10</f>
        <v>QA Tester</v>
      </c>
      <c r="E89" s="19" t="s">
        <v>100</v>
      </c>
      <c r="F89" s="19" t="s">
        <v>344</v>
      </c>
      <c r="G89" s="19" t="s">
        <v>345</v>
      </c>
      <c r="H89" s="15">
        <v>3</v>
      </c>
      <c r="I89" s="15">
        <v>2</v>
      </c>
      <c r="J89" s="16">
        <f t="shared" si="6"/>
        <v>6</v>
      </c>
      <c r="K89" s="16" t="str">
        <f>INDEX(Escalas!$F$2:$F$5,MATCH(J89,Escalas!$E$2:$E$5,1))</f>
        <v>Moderado</v>
      </c>
      <c r="L89" s="16">
        <f>INDEX(Inventario_Activos!$I$2:$I$16,MATCH(D89,Inventario_Activos!$D$2:$D$16,0))</f>
        <v>3</v>
      </c>
      <c r="M89" s="16">
        <f t="shared" si="7"/>
        <v>4</v>
      </c>
      <c r="N89" s="16" t="str">
        <f>INDEX(Escalas!$F$2:$F$5,MATCH(M89,Escalas!$E$2:$E$5,1))</f>
        <v>Bajo</v>
      </c>
      <c r="O89" s="19" t="s">
        <v>74</v>
      </c>
      <c r="P89" s="19" t="s">
        <v>346</v>
      </c>
      <c r="Q89">
        <f t="shared" si="8"/>
        <v>6.0006300000000001</v>
      </c>
    </row>
    <row r="90" spans="1:17" ht="25.5" customHeight="1" x14ac:dyDescent="0.25">
      <c r="A90" s="14">
        <v>89</v>
      </c>
      <c r="B90" s="16" t="str">
        <f>Inventario_Activos!B10</f>
        <v>Pruebas</v>
      </c>
      <c r="C90" s="16" t="str">
        <f>Inventario_Activos!C10</f>
        <v>Recursos Humanos</v>
      </c>
      <c r="D90" s="16" t="str">
        <f>Inventario_Activos!D10</f>
        <v>QA Tester</v>
      </c>
      <c r="E90" s="19" t="s">
        <v>104</v>
      </c>
      <c r="F90" s="19" t="s">
        <v>347</v>
      </c>
      <c r="G90" s="19" t="s">
        <v>348</v>
      </c>
      <c r="H90" s="15">
        <v>2</v>
      </c>
      <c r="I90" s="15">
        <v>4</v>
      </c>
      <c r="J90" s="16">
        <f t="shared" si="6"/>
        <v>8</v>
      </c>
      <c r="K90" s="16" t="str">
        <f>INDEX(Escalas!$F$2:$F$5,MATCH(J90,Escalas!$E$2:$E$5,1))</f>
        <v>Moderado</v>
      </c>
      <c r="L90" s="16">
        <f>INDEX(Inventario_Activos!$I$2:$I$16,MATCH(D90,Inventario_Activos!$D$2:$D$16,0))</f>
        <v>3</v>
      </c>
      <c r="M90" s="16">
        <f t="shared" si="7"/>
        <v>5</v>
      </c>
      <c r="N90" s="16" t="str">
        <f>INDEX(Escalas!$F$2:$F$5,MATCH(M90,Escalas!$E$2:$E$5,1))</f>
        <v>Bajo</v>
      </c>
      <c r="O90" s="19" t="s">
        <v>74</v>
      </c>
      <c r="P90" s="19" t="s">
        <v>349</v>
      </c>
      <c r="Q90">
        <f t="shared" si="8"/>
        <v>8.0006199999999996</v>
      </c>
    </row>
    <row r="91" spans="1:17" ht="25.5" customHeight="1" x14ac:dyDescent="0.25">
      <c r="A91" s="14">
        <v>90</v>
      </c>
      <c r="B91" s="16" t="str">
        <f>Inventario_Activos!B10</f>
        <v>Pruebas</v>
      </c>
      <c r="C91" s="16" t="str">
        <f>Inventario_Activos!C10</f>
        <v>Recursos Humanos</v>
      </c>
      <c r="D91" s="16" t="str">
        <f>Inventario_Activos!D10</f>
        <v>QA Tester</v>
      </c>
      <c r="E91" s="19" t="s">
        <v>108</v>
      </c>
      <c r="F91" s="19" t="s">
        <v>350</v>
      </c>
      <c r="G91" s="19" t="s">
        <v>351</v>
      </c>
      <c r="H91" s="15">
        <v>3</v>
      </c>
      <c r="I91" s="15">
        <v>3</v>
      </c>
      <c r="J91" s="16">
        <f t="shared" si="6"/>
        <v>9</v>
      </c>
      <c r="K91" s="16" t="str">
        <f>INDEX(Escalas!$F$2:$F$5,MATCH(J91,Escalas!$E$2:$E$5,1))</f>
        <v>Moderado</v>
      </c>
      <c r="L91" s="16">
        <f>INDEX(Inventario_Activos!$I$2:$I$16,MATCH(D91,Inventario_Activos!$D$2:$D$16,0))</f>
        <v>3</v>
      </c>
      <c r="M91" s="16">
        <f t="shared" si="7"/>
        <v>5</v>
      </c>
      <c r="N91" s="16" t="str">
        <f>INDEX(Escalas!$F$2:$F$5,MATCH(M91,Escalas!$E$2:$E$5,1))</f>
        <v>Bajo</v>
      </c>
      <c r="O91" s="19" t="s">
        <v>74</v>
      </c>
      <c r="P91" s="19" t="s">
        <v>352</v>
      </c>
      <c r="Q91">
        <f t="shared" si="8"/>
        <v>9.00061</v>
      </c>
    </row>
    <row r="92" spans="1:17" ht="25.5" customHeight="1" x14ac:dyDescent="0.25">
      <c r="A92" s="14">
        <v>91</v>
      </c>
      <c r="B92" s="16" t="str">
        <f>Inventario_Activos!B11</f>
        <v>Pruebas</v>
      </c>
      <c r="C92" s="16" t="str">
        <f>Inventario_Activos!C11</f>
        <v>Software</v>
      </c>
      <c r="D92" s="16" t="str">
        <f>Inventario_Activos!D11</f>
        <v>Herramienta de automatización de pruebas</v>
      </c>
      <c r="E92" s="19" t="s">
        <v>71</v>
      </c>
      <c r="F92" s="19" t="s">
        <v>353</v>
      </c>
      <c r="G92" s="19" t="s">
        <v>233</v>
      </c>
      <c r="H92" s="15">
        <v>2</v>
      </c>
      <c r="I92" s="15">
        <v>2</v>
      </c>
      <c r="J92" s="16">
        <f t="shared" si="6"/>
        <v>4</v>
      </c>
      <c r="K92" s="16" t="str">
        <f>INDEX(Escalas!$F$2:$F$5,MATCH(J92,Escalas!$E$2:$E$5,1))</f>
        <v>Bajo</v>
      </c>
      <c r="L92" s="16">
        <f>INDEX(Inventario_Activos!$I$2:$I$16,MATCH(D92,Inventario_Activos!$D$2:$D$16,0))</f>
        <v>3</v>
      </c>
      <c r="M92" s="16">
        <f t="shared" si="7"/>
        <v>2</v>
      </c>
      <c r="N92" s="16" t="str">
        <f>INDEX(Escalas!$F$2:$F$5,MATCH(M92,Escalas!$E$2:$E$5,1))</f>
        <v>Bajo</v>
      </c>
      <c r="O92" s="19" t="s">
        <v>234</v>
      </c>
      <c r="P92" s="19" t="s">
        <v>354</v>
      </c>
      <c r="Q92">
        <f t="shared" si="8"/>
        <v>4.0006000000000004</v>
      </c>
    </row>
    <row r="93" spans="1:17" ht="25.5" customHeight="1" x14ac:dyDescent="0.25">
      <c r="A93" s="14">
        <v>92</v>
      </c>
      <c r="B93" s="16" t="str">
        <f>Inventario_Activos!B11</f>
        <v>Pruebas</v>
      </c>
      <c r="C93" s="16" t="str">
        <f>Inventario_Activos!C11</f>
        <v>Software</v>
      </c>
      <c r="D93" s="16" t="str">
        <f>Inventario_Activos!D11</f>
        <v>Herramienta de automatización de pruebas</v>
      </c>
      <c r="E93" s="19" t="s">
        <v>76</v>
      </c>
      <c r="F93" s="19" t="s">
        <v>355</v>
      </c>
      <c r="G93" s="19" t="s">
        <v>356</v>
      </c>
      <c r="H93" s="15">
        <v>2</v>
      </c>
      <c r="I93" s="15">
        <v>3</v>
      </c>
      <c r="J93" s="16">
        <f t="shared" si="6"/>
        <v>6</v>
      </c>
      <c r="K93" s="16" t="str">
        <f>INDEX(Escalas!$F$2:$F$5,MATCH(J93,Escalas!$E$2:$E$5,1))</f>
        <v>Moderado</v>
      </c>
      <c r="L93" s="16">
        <f>INDEX(Inventario_Activos!$I$2:$I$16,MATCH(D93,Inventario_Activos!$D$2:$D$16,0))</f>
        <v>3</v>
      </c>
      <c r="M93" s="16">
        <f t="shared" si="7"/>
        <v>4</v>
      </c>
      <c r="N93" s="16" t="str">
        <f>INDEX(Escalas!$F$2:$F$5,MATCH(M93,Escalas!$E$2:$E$5,1))</f>
        <v>Bajo</v>
      </c>
      <c r="O93" s="19" t="s">
        <v>74</v>
      </c>
      <c r="P93" s="19" t="s">
        <v>357</v>
      </c>
      <c r="Q93">
        <f t="shared" si="8"/>
        <v>6.0005899999999999</v>
      </c>
    </row>
    <row r="94" spans="1:17" ht="25.5" customHeight="1" x14ac:dyDescent="0.25">
      <c r="A94" s="14">
        <v>93</v>
      </c>
      <c r="B94" s="16" t="str">
        <f>Inventario_Activos!B11</f>
        <v>Pruebas</v>
      </c>
      <c r="C94" s="16" t="str">
        <f>Inventario_Activos!C11</f>
        <v>Software</v>
      </c>
      <c r="D94" s="16" t="str">
        <f>Inventario_Activos!D11</f>
        <v>Herramienta de automatización de pruebas</v>
      </c>
      <c r="E94" s="19" t="s">
        <v>80</v>
      </c>
      <c r="F94" s="19" t="s">
        <v>358</v>
      </c>
      <c r="G94" s="19" t="s">
        <v>359</v>
      </c>
      <c r="H94" s="15">
        <v>3</v>
      </c>
      <c r="I94" s="15">
        <v>3</v>
      </c>
      <c r="J94" s="16">
        <f t="shared" si="6"/>
        <v>9</v>
      </c>
      <c r="K94" s="16" t="str">
        <f>INDEX(Escalas!$F$2:$F$5,MATCH(J94,Escalas!$E$2:$E$5,1))</f>
        <v>Moderado</v>
      </c>
      <c r="L94" s="16">
        <f>INDEX(Inventario_Activos!$I$2:$I$16,MATCH(D94,Inventario_Activos!$D$2:$D$16,0))</f>
        <v>3</v>
      </c>
      <c r="M94" s="16">
        <f t="shared" si="7"/>
        <v>5</v>
      </c>
      <c r="N94" s="16" t="str">
        <f>INDEX(Escalas!$F$2:$F$5,MATCH(M94,Escalas!$E$2:$E$5,1))</f>
        <v>Bajo</v>
      </c>
      <c r="O94" s="19" t="s">
        <v>74</v>
      </c>
      <c r="P94" s="19" t="s">
        <v>360</v>
      </c>
      <c r="Q94">
        <f t="shared" si="8"/>
        <v>9.0005799999999994</v>
      </c>
    </row>
    <row r="95" spans="1:17" ht="25.5" customHeight="1" x14ac:dyDescent="0.25">
      <c r="A95" s="14">
        <v>94</v>
      </c>
      <c r="B95" s="16" t="str">
        <f>Inventario_Activos!B11</f>
        <v>Pruebas</v>
      </c>
      <c r="C95" s="16" t="str">
        <f>Inventario_Activos!C11</f>
        <v>Software</v>
      </c>
      <c r="D95" s="16" t="str">
        <f>Inventario_Activos!D11</f>
        <v>Herramienta de automatización de pruebas</v>
      </c>
      <c r="E95" s="19" t="s">
        <v>84</v>
      </c>
      <c r="F95" s="19" t="s">
        <v>361</v>
      </c>
      <c r="G95" s="19" t="s">
        <v>362</v>
      </c>
      <c r="H95" s="15">
        <v>4</v>
      </c>
      <c r="I95" s="15">
        <v>4</v>
      </c>
      <c r="J95" s="16">
        <f t="shared" si="6"/>
        <v>16</v>
      </c>
      <c r="K95" s="16" t="str">
        <f>INDEX(Escalas!$F$2:$F$5,MATCH(J95,Escalas!$E$2:$E$5,1))</f>
        <v>Alto</v>
      </c>
      <c r="L95" s="16">
        <f>INDEX(Inventario_Activos!$I$2:$I$16,MATCH(D95,Inventario_Activos!$D$2:$D$16,0))</f>
        <v>3</v>
      </c>
      <c r="M95" s="16">
        <f t="shared" si="7"/>
        <v>10</v>
      </c>
      <c r="N95" s="16" t="str">
        <f>INDEX(Escalas!$F$2:$F$5,MATCH(M95,Escalas!$E$2:$E$5,1))</f>
        <v>Moderado</v>
      </c>
      <c r="O95" s="19" t="s">
        <v>74</v>
      </c>
      <c r="P95" s="19" t="s">
        <v>363</v>
      </c>
      <c r="Q95">
        <f t="shared" si="8"/>
        <v>16.00057</v>
      </c>
    </row>
    <row r="96" spans="1:17" ht="25.5" customHeight="1" x14ac:dyDescent="0.25">
      <c r="A96" s="14">
        <v>95</v>
      </c>
      <c r="B96" s="16" t="str">
        <f>Inventario_Activos!B11</f>
        <v>Pruebas</v>
      </c>
      <c r="C96" s="16" t="str">
        <f>Inventario_Activos!C11</f>
        <v>Software</v>
      </c>
      <c r="D96" s="16" t="str">
        <f>Inventario_Activos!D11</f>
        <v>Herramienta de automatización de pruebas</v>
      </c>
      <c r="E96" s="19" t="s">
        <v>88</v>
      </c>
      <c r="F96" s="19" t="s">
        <v>364</v>
      </c>
      <c r="G96" s="19" t="s">
        <v>365</v>
      </c>
      <c r="H96" s="15">
        <v>3</v>
      </c>
      <c r="I96" s="15">
        <v>3</v>
      </c>
      <c r="J96" s="16">
        <f t="shared" si="6"/>
        <v>9</v>
      </c>
      <c r="K96" s="16" t="str">
        <f>INDEX(Escalas!$F$2:$F$5,MATCH(J96,Escalas!$E$2:$E$5,1))</f>
        <v>Moderado</v>
      </c>
      <c r="L96" s="16">
        <f>INDEX(Inventario_Activos!$I$2:$I$16,MATCH(D96,Inventario_Activos!$D$2:$D$16,0))</f>
        <v>3</v>
      </c>
      <c r="M96" s="16">
        <f t="shared" si="7"/>
        <v>5</v>
      </c>
      <c r="N96" s="16" t="str">
        <f>INDEX(Escalas!$F$2:$F$5,MATCH(M96,Escalas!$E$2:$E$5,1))</f>
        <v>Bajo</v>
      </c>
      <c r="O96" s="19" t="s">
        <v>74</v>
      </c>
      <c r="P96" s="19" t="s">
        <v>366</v>
      </c>
      <c r="Q96">
        <f t="shared" si="8"/>
        <v>9.0005600000000001</v>
      </c>
    </row>
    <row r="97" spans="1:17" ht="25.5" customHeight="1" x14ac:dyDescent="0.25">
      <c r="A97" s="14">
        <v>96</v>
      </c>
      <c r="B97" s="16" t="str">
        <f>Inventario_Activos!B11</f>
        <v>Pruebas</v>
      </c>
      <c r="C97" s="16" t="str">
        <f>Inventario_Activos!C11</f>
        <v>Software</v>
      </c>
      <c r="D97" s="16" t="str">
        <f>Inventario_Activos!D11</f>
        <v>Herramienta de automatización de pruebas</v>
      </c>
      <c r="E97" s="19" t="s">
        <v>92</v>
      </c>
      <c r="F97" s="19" t="s">
        <v>367</v>
      </c>
      <c r="G97" s="19" t="s">
        <v>368</v>
      </c>
      <c r="H97" s="15">
        <v>3</v>
      </c>
      <c r="I97" s="15">
        <v>4</v>
      </c>
      <c r="J97" s="16">
        <f t="shared" si="6"/>
        <v>12</v>
      </c>
      <c r="K97" s="16" t="str">
        <f>INDEX(Escalas!$F$2:$F$5,MATCH(J97,Escalas!$E$2:$E$5,1))</f>
        <v>Alto</v>
      </c>
      <c r="L97" s="16">
        <f>INDEX(Inventario_Activos!$I$2:$I$16,MATCH(D97,Inventario_Activos!$D$2:$D$16,0))</f>
        <v>3</v>
      </c>
      <c r="M97" s="16">
        <f t="shared" si="7"/>
        <v>7</v>
      </c>
      <c r="N97" s="16" t="str">
        <f>INDEX(Escalas!$F$2:$F$5,MATCH(M97,Escalas!$E$2:$E$5,1))</f>
        <v>Moderado</v>
      </c>
      <c r="O97" s="19" t="s">
        <v>74</v>
      </c>
      <c r="P97" s="19" t="s">
        <v>369</v>
      </c>
      <c r="Q97">
        <f t="shared" si="8"/>
        <v>12.00055</v>
      </c>
    </row>
    <row r="98" spans="1:17" ht="25.5" customHeight="1" x14ac:dyDescent="0.25">
      <c r="A98" s="14">
        <v>97</v>
      </c>
      <c r="B98" s="16" t="str">
        <f>Inventario_Activos!B11</f>
        <v>Pruebas</v>
      </c>
      <c r="C98" s="16" t="str">
        <f>Inventario_Activos!C11</f>
        <v>Software</v>
      </c>
      <c r="D98" s="16" t="str">
        <f>Inventario_Activos!D11</f>
        <v>Herramienta de automatización de pruebas</v>
      </c>
      <c r="E98" s="19" t="s">
        <v>96</v>
      </c>
      <c r="F98" s="19" t="s">
        <v>370</v>
      </c>
      <c r="G98" s="19" t="s">
        <v>371</v>
      </c>
      <c r="H98" s="15">
        <v>2</v>
      </c>
      <c r="I98" s="15">
        <v>3</v>
      </c>
      <c r="J98" s="16">
        <f t="shared" ref="J98:J129" si="9">H98*I98</f>
        <v>6</v>
      </c>
      <c r="K98" s="16" t="str">
        <f>INDEX(Escalas!$F$2:$F$5,MATCH(J98,Escalas!$E$2:$E$5,1))</f>
        <v>Moderado</v>
      </c>
      <c r="L98" s="16">
        <f>INDEX(Inventario_Activos!$I$2:$I$16,MATCH(D98,Inventario_Activos!$D$2:$D$16,0))</f>
        <v>3</v>
      </c>
      <c r="M98" s="16">
        <f t="shared" ref="M98:M129" si="10">ROUND(J98*L98/5,0)</f>
        <v>4</v>
      </c>
      <c r="N98" s="16" t="str">
        <f>INDEX(Escalas!$F$2:$F$5,MATCH(M98,Escalas!$E$2:$E$5,1))</f>
        <v>Bajo</v>
      </c>
      <c r="O98" s="19" t="s">
        <v>74</v>
      </c>
      <c r="P98" s="19" t="s">
        <v>372</v>
      </c>
      <c r="Q98">
        <f t="shared" ref="Q98:Q129" si="11">J98+(152-ROW())/100000</f>
        <v>6.00054</v>
      </c>
    </row>
    <row r="99" spans="1:17" ht="25.5" customHeight="1" x14ac:dyDescent="0.25">
      <c r="A99" s="14">
        <v>98</v>
      </c>
      <c r="B99" s="16" t="str">
        <f>Inventario_Activos!B11</f>
        <v>Pruebas</v>
      </c>
      <c r="C99" s="16" t="str">
        <f>Inventario_Activos!C11</f>
        <v>Software</v>
      </c>
      <c r="D99" s="16" t="str">
        <f>Inventario_Activos!D11</f>
        <v>Herramienta de automatización de pruebas</v>
      </c>
      <c r="E99" s="19" t="s">
        <v>100</v>
      </c>
      <c r="F99" s="19" t="s">
        <v>373</v>
      </c>
      <c r="G99" s="19" t="s">
        <v>374</v>
      </c>
      <c r="H99" s="15">
        <v>3</v>
      </c>
      <c r="I99" s="15">
        <v>3</v>
      </c>
      <c r="J99" s="16">
        <f t="shared" si="9"/>
        <v>9</v>
      </c>
      <c r="K99" s="16" t="str">
        <f>INDEX(Escalas!$F$2:$F$5,MATCH(J99,Escalas!$E$2:$E$5,1))</f>
        <v>Moderado</v>
      </c>
      <c r="L99" s="16">
        <f>INDEX(Inventario_Activos!$I$2:$I$16,MATCH(D99,Inventario_Activos!$D$2:$D$16,0))</f>
        <v>3</v>
      </c>
      <c r="M99" s="16">
        <f t="shared" si="10"/>
        <v>5</v>
      </c>
      <c r="N99" s="16" t="str">
        <f>INDEX(Escalas!$F$2:$F$5,MATCH(M99,Escalas!$E$2:$E$5,1))</f>
        <v>Bajo</v>
      </c>
      <c r="O99" s="19" t="s">
        <v>74</v>
      </c>
      <c r="P99" s="19" t="s">
        <v>375</v>
      </c>
      <c r="Q99">
        <f t="shared" si="11"/>
        <v>9.0005299999999995</v>
      </c>
    </row>
    <row r="100" spans="1:17" ht="25.5" customHeight="1" x14ac:dyDescent="0.25">
      <c r="A100" s="14">
        <v>99</v>
      </c>
      <c r="B100" s="16" t="str">
        <f>Inventario_Activos!B11</f>
        <v>Pruebas</v>
      </c>
      <c r="C100" s="16" t="str">
        <f>Inventario_Activos!C11</f>
        <v>Software</v>
      </c>
      <c r="D100" s="16" t="str">
        <f>Inventario_Activos!D11</f>
        <v>Herramienta de automatización de pruebas</v>
      </c>
      <c r="E100" s="19" t="s">
        <v>104</v>
      </c>
      <c r="F100" s="19" t="s">
        <v>376</v>
      </c>
      <c r="G100" s="19" t="s">
        <v>377</v>
      </c>
      <c r="H100" s="15">
        <v>3</v>
      </c>
      <c r="I100" s="15">
        <v>4</v>
      </c>
      <c r="J100" s="16">
        <f t="shared" si="9"/>
        <v>12</v>
      </c>
      <c r="K100" s="16" t="str">
        <f>INDEX(Escalas!$F$2:$F$5,MATCH(J100,Escalas!$E$2:$E$5,1))</f>
        <v>Alto</v>
      </c>
      <c r="L100" s="16">
        <f>INDEX(Inventario_Activos!$I$2:$I$16,MATCH(D100,Inventario_Activos!$D$2:$D$16,0))</f>
        <v>3</v>
      </c>
      <c r="M100" s="16">
        <f t="shared" si="10"/>
        <v>7</v>
      </c>
      <c r="N100" s="16" t="str">
        <f>INDEX(Escalas!$F$2:$F$5,MATCH(M100,Escalas!$E$2:$E$5,1))</f>
        <v>Moderado</v>
      </c>
      <c r="O100" s="19" t="s">
        <v>74</v>
      </c>
      <c r="P100" s="19" t="s">
        <v>378</v>
      </c>
      <c r="Q100">
        <f t="shared" si="11"/>
        <v>12.00052</v>
      </c>
    </row>
    <row r="101" spans="1:17" ht="25.5" customHeight="1" x14ac:dyDescent="0.25">
      <c r="A101" s="14">
        <v>100</v>
      </c>
      <c r="B101" s="16" t="str">
        <f>Inventario_Activos!B11</f>
        <v>Pruebas</v>
      </c>
      <c r="C101" s="16" t="str">
        <f>Inventario_Activos!C11</f>
        <v>Software</v>
      </c>
      <c r="D101" s="16" t="str">
        <f>Inventario_Activos!D11</f>
        <v>Herramienta de automatización de pruebas</v>
      </c>
      <c r="E101" s="19" t="s">
        <v>108</v>
      </c>
      <c r="F101" s="19" t="s">
        <v>379</v>
      </c>
      <c r="G101" s="19" t="s">
        <v>380</v>
      </c>
      <c r="H101" s="15">
        <v>3</v>
      </c>
      <c r="I101" s="15">
        <v>3</v>
      </c>
      <c r="J101" s="16">
        <f t="shared" si="9"/>
        <v>9</v>
      </c>
      <c r="K101" s="16" t="str">
        <f>INDEX(Escalas!$F$2:$F$5,MATCH(J101,Escalas!$E$2:$E$5,1))</f>
        <v>Moderado</v>
      </c>
      <c r="L101" s="16">
        <f>INDEX(Inventario_Activos!$I$2:$I$16,MATCH(D101,Inventario_Activos!$D$2:$D$16,0))</f>
        <v>3</v>
      </c>
      <c r="M101" s="16">
        <f t="shared" si="10"/>
        <v>5</v>
      </c>
      <c r="N101" s="16" t="str">
        <f>INDEX(Escalas!$F$2:$F$5,MATCH(M101,Escalas!$E$2:$E$5,1))</f>
        <v>Bajo</v>
      </c>
      <c r="O101" s="19" t="s">
        <v>74</v>
      </c>
      <c r="P101" s="19" t="s">
        <v>381</v>
      </c>
      <c r="Q101">
        <f t="shared" si="11"/>
        <v>9.0005100000000002</v>
      </c>
    </row>
    <row r="102" spans="1:17" ht="25.5" customHeight="1" x14ac:dyDescent="0.25">
      <c r="A102" s="14">
        <v>101</v>
      </c>
      <c r="B102" s="16" t="str">
        <f>Inventario_Activos!B12</f>
        <v>Desarrollo</v>
      </c>
      <c r="C102" s="16" t="str">
        <f>Inventario_Activos!C12</f>
        <v>Hardware</v>
      </c>
      <c r="D102" s="16" t="str">
        <f>Inventario_Activos!D12</f>
        <v>Estación de trabajo del desarrollador</v>
      </c>
      <c r="E102" s="19" t="s">
        <v>71</v>
      </c>
      <c r="F102" s="19" t="s">
        <v>382</v>
      </c>
      <c r="G102" s="19" t="s">
        <v>383</v>
      </c>
      <c r="H102" s="15">
        <v>3</v>
      </c>
      <c r="I102" s="15">
        <v>3</v>
      </c>
      <c r="J102" s="16">
        <f t="shared" si="9"/>
        <v>9</v>
      </c>
      <c r="K102" s="16" t="str">
        <f>INDEX(Escalas!$F$2:$F$5,MATCH(J102,Escalas!$E$2:$E$5,1))</f>
        <v>Moderado</v>
      </c>
      <c r="L102" s="16">
        <f>INDEX(Inventario_Activos!$I$2:$I$16,MATCH(D102,Inventario_Activos!$D$2:$D$16,0))</f>
        <v>3</v>
      </c>
      <c r="M102" s="16">
        <f t="shared" si="10"/>
        <v>5</v>
      </c>
      <c r="N102" s="16" t="str">
        <f>INDEX(Escalas!$F$2:$F$5,MATCH(M102,Escalas!$E$2:$E$5,1))</f>
        <v>Bajo</v>
      </c>
      <c r="O102" s="19" t="s">
        <v>74</v>
      </c>
      <c r="P102" s="19" t="s">
        <v>384</v>
      </c>
      <c r="Q102">
        <f t="shared" si="11"/>
        <v>9.0005000000000006</v>
      </c>
    </row>
    <row r="103" spans="1:17" ht="25.5" customHeight="1" x14ac:dyDescent="0.25">
      <c r="A103" s="14">
        <v>102</v>
      </c>
      <c r="B103" s="16" t="str">
        <f>Inventario_Activos!B12</f>
        <v>Desarrollo</v>
      </c>
      <c r="C103" s="16" t="str">
        <f>Inventario_Activos!C12</f>
        <v>Hardware</v>
      </c>
      <c r="D103" s="16" t="str">
        <f>Inventario_Activos!D12</f>
        <v>Estación de trabajo del desarrollador</v>
      </c>
      <c r="E103" s="19" t="s">
        <v>76</v>
      </c>
      <c r="F103" s="19" t="s">
        <v>385</v>
      </c>
      <c r="G103" s="19" t="s">
        <v>386</v>
      </c>
      <c r="H103" s="15">
        <v>3</v>
      </c>
      <c r="I103" s="15">
        <v>3</v>
      </c>
      <c r="J103" s="16">
        <f t="shared" si="9"/>
        <v>9</v>
      </c>
      <c r="K103" s="16" t="str">
        <f>INDEX(Escalas!$F$2:$F$5,MATCH(J103,Escalas!$E$2:$E$5,1))</f>
        <v>Moderado</v>
      </c>
      <c r="L103" s="16">
        <f>INDEX(Inventario_Activos!$I$2:$I$16,MATCH(D103,Inventario_Activos!$D$2:$D$16,0))</f>
        <v>3</v>
      </c>
      <c r="M103" s="16">
        <f t="shared" si="10"/>
        <v>5</v>
      </c>
      <c r="N103" s="16" t="str">
        <f>INDEX(Escalas!$F$2:$F$5,MATCH(M103,Escalas!$E$2:$E$5,1))</f>
        <v>Bajo</v>
      </c>
      <c r="O103" s="19" t="s">
        <v>74</v>
      </c>
      <c r="P103" s="19" t="s">
        <v>387</v>
      </c>
      <c r="Q103">
        <f t="shared" si="11"/>
        <v>9.0004899999999992</v>
      </c>
    </row>
    <row r="104" spans="1:17" ht="25.5" customHeight="1" x14ac:dyDescent="0.25">
      <c r="A104" s="14">
        <v>103</v>
      </c>
      <c r="B104" s="16" t="str">
        <f>Inventario_Activos!B12</f>
        <v>Desarrollo</v>
      </c>
      <c r="C104" s="16" t="str">
        <f>Inventario_Activos!C12</f>
        <v>Hardware</v>
      </c>
      <c r="D104" s="16" t="str">
        <f>Inventario_Activos!D12</f>
        <v>Estación de trabajo del desarrollador</v>
      </c>
      <c r="E104" s="19" t="s">
        <v>80</v>
      </c>
      <c r="F104" s="19" t="s">
        <v>388</v>
      </c>
      <c r="G104" s="19" t="s">
        <v>389</v>
      </c>
      <c r="H104" s="15">
        <v>3</v>
      </c>
      <c r="I104" s="15">
        <v>4</v>
      </c>
      <c r="J104" s="16">
        <f t="shared" si="9"/>
        <v>12</v>
      </c>
      <c r="K104" s="16" t="str">
        <f>INDEX(Escalas!$F$2:$F$5,MATCH(J104,Escalas!$E$2:$E$5,1))</f>
        <v>Alto</v>
      </c>
      <c r="L104" s="16">
        <f>INDEX(Inventario_Activos!$I$2:$I$16,MATCH(D104,Inventario_Activos!$D$2:$D$16,0))</f>
        <v>3</v>
      </c>
      <c r="M104" s="16">
        <f t="shared" si="10"/>
        <v>7</v>
      </c>
      <c r="N104" s="16" t="str">
        <f>INDEX(Escalas!$F$2:$F$5,MATCH(M104,Escalas!$E$2:$E$5,1))</f>
        <v>Moderado</v>
      </c>
      <c r="O104" s="19" t="s">
        <v>74</v>
      </c>
      <c r="P104" s="19" t="s">
        <v>390</v>
      </c>
      <c r="Q104">
        <f t="shared" si="11"/>
        <v>12.00048</v>
      </c>
    </row>
    <row r="105" spans="1:17" ht="25.5" customHeight="1" x14ac:dyDescent="0.25">
      <c r="A105" s="14">
        <v>104</v>
      </c>
      <c r="B105" s="16" t="str">
        <f>Inventario_Activos!B12</f>
        <v>Desarrollo</v>
      </c>
      <c r="C105" s="16" t="str">
        <f>Inventario_Activos!C12</f>
        <v>Hardware</v>
      </c>
      <c r="D105" s="16" t="str">
        <f>Inventario_Activos!D12</f>
        <v>Estación de trabajo del desarrollador</v>
      </c>
      <c r="E105" s="19" t="s">
        <v>84</v>
      </c>
      <c r="F105" s="19" t="s">
        <v>391</v>
      </c>
      <c r="G105" s="19" t="s">
        <v>392</v>
      </c>
      <c r="H105" s="15">
        <v>3</v>
      </c>
      <c r="I105" s="15">
        <v>3</v>
      </c>
      <c r="J105" s="16">
        <f t="shared" si="9"/>
        <v>9</v>
      </c>
      <c r="K105" s="16" t="str">
        <f>INDEX(Escalas!$F$2:$F$5,MATCH(J105,Escalas!$E$2:$E$5,1))</f>
        <v>Moderado</v>
      </c>
      <c r="L105" s="16">
        <f>INDEX(Inventario_Activos!$I$2:$I$16,MATCH(D105,Inventario_Activos!$D$2:$D$16,0))</f>
        <v>3</v>
      </c>
      <c r="M105" s="16">
        <f t="shared" si="10"/>
        <v>5</v>
      </c>
      <c r="N105" s="16" t="str">
        <f>INDEX(Escalas!$F$2:$F$5,MATCH(M105,Escalas!$E$2:$E$5,1))</f>
        <v>Bajo</v>
      </c>
      <c r="O105" s="19" t="s">
        <v>74</v>
      </c>
      <c r="P105" s="19" t="s">
        <v>393</v>
      </c>
      <c r="Q105">
        <f t="shared" si="11"/>
        <v>9.00047</v>
      </c>
    </row>
    <row r="106" spans="1:17" ht="25.5" customHeight="1" x14ac:dyDescent="0.25">
      <c r="A106" s="14">
        <v>105</v>
      </c>
      <c r="B106" s="16" t="str">
        <f>Inventario_Activos!B12</f>
        <v>Desarrollo</v>
      </c>
      <c r="C106" s="16" t="str">
        <f>Inventario_Activos!C12</f>
        <v>Hardware</v>
      </c>
      <c r="D106" s="16" t="str">
        <f>Inventario_Activos!D12</f>
        <v>Estación de trabajo del desarrollador</v>
      </c>
      <c r="E106" s="19" t="s">
        <v>88</v>
      </c>
      <c r="F106" s="19" t="s">
        <v>394</v>
      </c>
      <c r="G106" s="19" t="s">
        <v>395</v>
      </c>
      <c r="H106" s="15">
        <v>3</v>
      </c>
      <c r="I106" s="15">
        <v>4</v>
      </c>
      <c r="J106" s="16">
        <f t="shared" si="9"/>
        <v>12</v>
      </c>
      <c r="K106" s="16" t="str">
        <f>INDEX(Escalas!$F$2:$F$5,MATCH(J106,Escalas!$E$2:$E$5,1))</f>
        <v>Alto</v>
      </c>
      <c r="L106" s="16">
        <f>INDEX(Inventario_Activos!$I$2:$I$16,MATCH(D106,Inventario_Activos!$D$2:$D$16,0))</f>
        <v>3</v>
      </c>
      <c r="M106" s="16">
        <f t="shared" si="10"/>
        <v>7</v>
      </c>
      <c r="N106" s="16" t="str">
        <f>INDEX(Escalas!$F$2:$F$5,MATCH(M106,Escalas!$E$2:$E$5,1))</f>
        <v>Moderado</v>
      </c>
      <c r="O106" s="19" t="s">
        <v>74</v>
      </c>
      <c r="P106" s="19" t="s">
        <v>396</v>
      </c>
      <c r="Q106">
        <f t="shared" si="11"/>
        <v>12.00046</v>
      </c>
    </row>
    <row r="107" spans="1:17" ht="25.5" customHeight="1" x14ac:dyDescent="0.25">
      <c r="A107" s="14">
        <v>106</v>
      </c>
      <c r="B107" s="16" t="str">
        <f>Inventario_Activos!B12</f>
        <v>Desarrollo</v>
      </c>
      <c r="C107" s="16" t="str">
        <f>Inventario_Activos!C12</f>
        <v>Hardware</v>
      </c>
      <c r="D107" s="16" t="str">
        <f>Inventario_Activos!D12</f>
        <v>Estación de trabajo del desarrollador</v>
      </c>
      <c r="E107" s="19" t="s">
        <v>92</v>
      </c>
      <c r="F107" s="19" t="s">
        <v>397</v>
      </c>
      <c r="G107" s="19" t="s">
        <v>398</v>
      </c>
      <c r="H107" s="15">
        <v>3</v>
      </c>
      <c r="I107" s="15">
        <v>3</v>
      </c>
      <c r="J107" s="16">
        <f t="shared" si="9"/>
        <v>9</v>
      </c>
      <c r="K107" s="16" t="str">
        <f>INDEX(Escalas!$F$2:$F$5,MATCH(J107,Escalas!$E$2:$E$5,1))</f>
        <v>Moderado</v>
      </c>
      <c r="L107" s="16">
        <f>INDEX(Inventario_Activos!$I$2:$I$16,MATCH(D107,Inventario_Activos!$D$2:$D$16,0))</f>
        <v>3</v>
      </c>
      <c r="M107" s="16">
        <f t="shared" si="10"/>
        <v>5</v>
      </c>
      <c r="N107" s="16" t="str">
        <f>INDEX(Escalas!$F$2:$F$5,MATCH(M107,Escalas!$E$2:$E$5,1))</f>
        <v>Bajo</v>
      </c>
      <c r="O107" s="19" t="s">
        <v>74</v>
      </c>
      <c r="P107" s="19" t="s">
        <v>399</v>
      </c>
      <c r="Q107">
        <f t="shared" si="11"/>
        <v>9.0004500000000007</v>
      </c>
    </row>
    <row r="108" spans="1:17" ht="25.5" customHeight="1" x14ac:dyDescent="0.25">
      <c r="A108" s="14">
        <v>107</v>
      </c>
      <c r="B108" s="16" t="str">
        <f>Inventario_Activos!B12</f>
        <v>Desarrollo</v>
      </c>
      <c r="C108" s="16" t="str">
        <f>Inventario_Activos!C12</f>
        <v>Hardware</v>
      </c>
      <c r="D108" s="16" t="str">
        <f>Inventario_Activos!D12</f>
        <v>Estación de trabajo del desarrollador</v>
      </c>
      <c r="E108" s="19" t="s">
        <v>96</v>
      </c>
      <c r="F108" s="19" t="s">
        <v>400</v>
      </c>
      <c r="G108" s="19" t="s">
        <v>401</v>
      </c>
      <c r="H108" s="15">
        <v>2</v>
      </c>
      <c r="I108" s="15">
        <v>3</v>
      </c>
      <c r="J108" s="16">
        <f t="shared" si="9"/>
        <v>6</v>
      </c>
      <c r="K108" s="16" t="str">
        <f>INDEX(Escalas!$F$2:$F$5,MATCH(J108,Escalas!$E$2:$E$5,1))</f>
        <v>Moderado</v>
      </c>
      <c r="L108" s="16">
        <f>INDEX(Inventario_Activos!$I$2:$I$16,MATCH(D108,Inventario_Activos!$D$2:$D$16,0))</f>
        <v>3</v>
      </c>
      <c r="M108" s="16">
        <f t="shared" si="10"/>
        <v>4</v>
      </c>
      <c r="N108" s="16" t="str">
        <f>INDEX(Escalas!$F$2:$F$5,MATCH(M108,Escalas!$E$2:$E$5,1))</f>
        <v>Bajo</v>
      </c>
      <c r="O108" s="19" t="s">
        <v>74</v>
      </c>
      <c r="P108" s="19" t="s">
        <v>402</v>
      </c>
      <c r="Q108">
        <f t="shared" si="11"/>
        <v>6.0004400000000002</v>
      </c>
    </row>
    <row r="109" spans="1:17" ht="25.5" customHeight="1" x14ac:dyDescent="0.25">
      <c r="A109" s="14">
        <v>108</v>
      </c>
      <c r="B109" s="16" t="str">
        <f>Inventario_Activos!B12</f>
        <v>Desarrollo</v>
      </c>
      <c r="C109" s="16" t="str">
        <f>Inventario_Activos!C12</f>
        <v>Hardware</v>
      </c>
      <c r="D109" s="16" t="str">
        <f>Inventario_Activos!D12</f>
        <v>Estación de trabajo del desarrollador</v>
      </c>
      <c r="E109" s="19" t="s">
        <v>100</v>
      </c>
      <c r="F109" s="19" t="s">
        <v>403</v>
      </c>
      <c r="G109" s="19" t="s">
        <v>404</v>
      </c>
      <c r="H109" s="15">
        <v>3</v>
      </c>
      <c r="I109" s="15">
        <v>3</v>
      </c>
      <c r="J109" s="16">
        <f t="shared" si="9"/>
        <v>9</v>
      </c>
      <c r="K109" s="16" t="str">
        <f>INDEX(Escalas!$F$2:$F$5,MATCH(J109,Escalas!$E$2:$E$5,1))</f>
        <v>Moderado</v>
      </c>
      <c r="L109" s="16">
        <f>INDEX(Inventario_Activos!$I$2:$I$16,MATCH(D109,Inventario_Activos!$D$2:$D$16,0))</f>
        <v>3</v>
      </c>
      <c r="M109" s="16">
        <f t="shared" si="10"/>
        <v>5</v>
      </c>
      <c r="N109" s="16" t="str">
        <f>INDEX(Escalas!$F$2:$F$5,MATCH(M109,Escalas!$E$2:$E$5,1))</f>
        <v>Bajo</v>
      </c>
      <c r="O109" s="19" t="s">
        <v>74</v>
      </c>
      <c r="P109" s="19" t="s">
        <v>405</v>
      </c>
      <c r="Q109">
        <f t="shared" si="11"/>
        <v>9.0004299999999997</v>
      </c>
    </row>
    <row r="110" spans="1:17" ht="25.5" customHeight="1" x14ac:dyDescent="0.25">
      <c r="A110" s="14">
        <v>109</v>
      </c>
      <c r="B110" s="16" t="str">
        <f>Inventario_Activos!B12</f>
        <v>Desarrollo</v>
      </c>
      <c r="C110" s="16" t="str">
        <f>Inventario_Activos!C12</f>
        <v>Hardware</v>
      </c>
      <c r="D110" s="16" t="str">
        <f>Inventario_Activos!D12</f>
        <v>Estación de trabajo del desarrollador</v>
      </c>
      <c r="E110" s="19" t="s">
        <v>104</v>
      </c>
      <c r="F110" s="19" t="s">
        <v>406</v>
      </c>
      <c r="G110" s="19" t="s">
        <v>407</v>
      </c>
      <c r="H110" s="15">
        <v>2</v>
      </c>
      <c r="I110" s="15">
        <v>4</v>
      </c>
      <c r="J110" s="16">
        <f t="shared" si="9"/>
        <v>8</v>
      </c>
      <c r="K110" s="16" t="str">
        <f>INDEX(Escalas!$F$2:$F$5,MATCH(J110,Escalas!$E$2:$E$5,1))</f>
        <v>Moderado</v>
      </c>
      <c r="L110" s="16">
        <f>INDEX(Inventario_Activos!$I$2:$I$16,MATCH(D110,Inventario_Activos!$D$2:$D$16,0))</f>
        <v>3</v>
      </c>
      <c r="M110" s="16">
        <f t="shared" si="10"/>
        <v>5</v>
      </c>
      <c r="N110" s="16" t="str">
        <f>INDEX(Escalas!$F$2:$F$5,MATCH(M110,Escalas!$E$2:$E$5,1))</f>
        <v>Bajo</v>
      </c>
      <c r="O110" s="19" t="s">
        <v>74</v>
      </c>
      <c r="P110" s="19" t="s">
        <v>408</v>
      </c>
      <c r="Q110">
        <f t="shared" si="11"/>
        <v>8.0004200000000001</v>
      </c>
    </row>
    <row r="111" spans="1:17" ht="25.5" customHeight="1" x14ac:dyDescent="0.25">
      <c r="A111" s="14">
        <v>110</v>
      </c>
      <c r="B111" s="16" t="str">
        <f>Inventario_Activos!B12</f>
        <v>Desarrollo</v>
      </c>
      <c r="C111" s="16" t="str">
        <f>Inventario_Activos!C12</f>
        <v>Hardware</v>
      </c>
      <c r="D111" s="16" t="str">
        <f>Inventario_Activos!D12</f>
        <v>Estación de trabajo del desarrollador</v>
      </c>
      <c r="E111" s="19" t="s">
        <v>108</v>
      </c>
      <c r="F111" s="19" t="s">
        <v>409</v>
      </c>
      <c r="G111" s="19" t="s">
        <v>410</v>
      </c>
      <c r="H111" s="15">
        <v>3</v>
      </c>
      <c r="I111" s="15">
        <v>4</v>
      </c>
      <c r="J111" s="16">
        <f t="shared" si="9"/>
        <v>12</v>
      </c>
      <c r="K111" s="16" t="str">
        <f>INDEX(Escalas!$F$2:$F$5,MATCH(J111,Escalas!$E$2:$E$5,1))</f>
        <v>Alto</v>
      </c>
      <c r="L111" s="16">
        <f>INDEX(Inventario_Activos!$I$2:$I$16,MATCH(D111,Inventario_Activos!$D$2:$D$16,0))</f>
        <v>3</v>
      </c>
      <c r="M111" s="16">
        <f t="shared" si="10"/>
        <v>7</v>
      </c>
      <c r="N111" s="16" t="str">
        <f>INDEX(Escalas!$F$2:$F$5,MATCH(M111,Escalas!$E$2:$E$5,1))</f>
        <v>Moderado</v>
      </c>
      <c r="O111" s="19" t="s">
        <v>74</v>
      </c>
      <c r="P111" s="19" t="s">
        <v>411</v>
      </c>
      <c r="Q111">
        <f t="shared" si="11"/>
        <v>12.00041</v>
      </c>
    </row>
    <row r="112" spans="1:17" ht="34.5" customHeight="1" x14ac:dyDescent="0.25">
      <c r="A112" s="14">
        <v>111</v>
      </c>
      <c r="B112" s="16" t="str">
        <f>Inventario_Activos!B13</f>
        <v>Desarrollo</v>
      </c>
      <c r="C112" s="16" t="str">
        <f>Inventario_Activos!C13</f>
        <v>Software</v>
      </c>
      <c r="D112" s="16" t="str">
        <f>Inventario_Activos!D13</f>
        <v>Repositorio de código (Git)</v>
      </c>
      <c r="E112" s="19" t="s">
        <v>71</v>
      </c>
      <c r="F112" s="19" t="s">
        <v>412</v>
      </c>
      <c r="G112" s="19" t="s">
        <v>413</v>
      </c>
      <c r="H112" s="15">
        <v>2</v>
      </c>
      <c r="I112" s="15">
        <v>3</v>
      </c>
      <c r="J112" s="16">
        <f t="shared" si="9"/>
        <v>6</v>
      </c>
      <c r="K112" s="16" t="str">
        <f>INDEX(Escalas!$F$2:$F$5,MATCH(J112,Escalas!$E$2:$E$5,1))</f>
        <v>Moderado</v>
      </c>
      <c r="L112" s="16">
        <f>INDEX(Inventario_Activos!$I$2:$I$16,MATCH(D112,Inventario_Activos!$D$2:$D$16,0))</f>
        <v>3</v>
      </c>
      <c r="M112" s="16">
        <f t="shared" si="10"/>
        <v>4</v>
      </c>
      <c r="N112" s="16" t="str">
        <f>INDEX(Escalas!$F$2:$F$5,MATCH(M112,Escalas!$E$2:$E$5,1))</f>
        <v>Bajo</v>
      </c>
      <c r="O112" s="19" t="s">
        <v>74</v>
      </c>
      <c r="P112" s="19" t="s">
        <v>414</v>
      </c>
      <c r="Q112">
        <f t="shared" si="11"/>
        <v>6.0004</v>
      </c>
    </row>
    <row r="113" spans="1:17" ht="23.25" customHeight="1" x14ac:dyDescent="0.25">
      <c r="A113" s="14">
        <v>112</v>
      </c>
      <c r="B113" s="16" t="str">
        <f>Inventario_Activos!B13</f>
        <v>Desarrollo</v>
      </c>
      <c r="C113" s="16" t="str">
        <f>Inventario_Activos!C13</f>
        <v>Software</v>
      </c>
      <c r="D113" s="16" t="str">
        <f>Inventario_Activos!D13</f>
        <v>Repositorio de código (Git)</v>
      </c>
      <c r="E113" s="19" t="s">
        <v>76</v>
      </c>
      <c r="F113" s="19" t="s">
        <v>415</v>
      </c>
      <c r="G113" s="19" t="s">
        <v>416</v>
      </c>
      <c r="H113" s="15">
        <v>3</v>
      </c>
      <c r="I113" s="15">
        <v>4</v>
      </c>
      <c r="J113" s="16">
        <f t="shared" si="9"/>
        <v>12</v>
      </c>
      <c r="K113" s="16" t="str">
        <f>INDEX(Escalas!$F$2:$F$5,MATCH(J113,Escalas!$E$2:$E$5,1))</f>
        <v>Alto</v>
      </c>
      <c r="L113" s="16">
        <f>INDEX(Inventario_Activos!$I$2:$I$16,MATCH(D113,Inventario_Activos!$D$2:$D$16,0))</f>
        <v>3</v>
      </c>
      <c r="M113" s="16">
        <f t="shared" si="10"/>
        <v>7</v>
      </c>
      <c r="N113" s="16" t="str">
        <f>INDEX(Escalas!$F$2:$F$5,MATCH(M113,Escalas!$E$2:$E$5,1))</f>
        <v>Moderado</v>
      </c>
      <c r="O113" s="19" t="s">
        <v>74</v>
      </c>
      <c r="P113" s="19" t="s">
        <v>417</v>
      </c>
      <c r="Q113">
        <f t="shared" si="11"/>
        <v>12.000389999999999</v>
      </c>
    </row>
    <row r="114" spans="1:17" ht="34.5" customHeight="1" x14ac:dyDescent="0.25">
      <c r="A114" s="14">
        <v>113</v>
      </c>
      <c r="B114" s="16" t="str">
        <f>Inventario_Activos!B13</f>
        <v>Desarrollo</v>
      </c>
      <c r="C114" s="16" t="str">
        <f>Inventario_Activos!C13</f>
        <v>Software</v>
      </c>
      <c r="D114" s="16" t="str">
        <f>Inventario_Activos!D13</f>
        <v>Repositorio de código (Git)</v>
      </c>
      <c r="E114" s="19" t="s">
        <v>80</v>
      </c>
      <c r="F114" s="19" t="s">
        <v>418</v>
      </c>
      <c r="G114" s="19" t="s">
        <v>419</v>
      </c>
      <c r="H114" s="15">
        <v>3</v>
      </c>
      <c r="I114" s="15">
        <v>4</v>
      </c>
      <c r="J114" s="16">
        <f t="shared" si="9"/>
        <v>12</v>
      </c>
      <c r="K114" s="16" t="str">
        <f>INDEX(Escalas!$F$2:$F$5,MATCH(J114,Escalas!$E$2:$E$5,1))</f>
        <v>Alto</v>
      </c>
      <c r="L114" s="16">
        <f>INDEX(Inventario_Activos!$I$2:$I$16,MATCH(D114,Inventario_Activos!$D$2:$D$16,0))</f>
        <v>3</v>
      </c>
      <c r="M114" s="16">
        <f t="shared" si="10"/>
        <v>7</v>
      </c>
      <c r="N114" s="16" t="str">
        <f>INDEX(Escalas!$F$2:$F$5,MATCH(M114,Escalas!$E$2:$E$5,1))</f>
        <v>Moderado</v>
      </c>
      <c r="O114" s="19" t="s">
        <v>74</v>
      </c>
      <c r="P114" s="19" t="s">
        <v>420</v>
      </c>
      <c r="Q114">
        <f t="shared" si="11"/>
        <v>12.00038</v>
      </c>
    </row>
    <row r="115" spans="1:17" ht="34.5" customHeight="1" x14ac:dyDescent="0.25">
      <c r="A115" s="14">
        <v>114</v>
      </c>
      <c r="B115" s="16" t="str">
        <f>Inventario_Activos!B13</f>
        <v>Desarrollo</v>
      </c>
      <c r="C115" s="16" t="str">
        <f>Inventario_Activos!C13</f>
        <v>Software</v>
      </c>
      <c r="D115" s="16" t="str">
        <f>Inventario_Activos!D13</f>
        <v>Repositorio de código (Git)</v>
      </c>
      <c r="E115" s="19" t="s">
        <v>84</v>
      </c>
      <c r="F115" s="19" t="s">
        <v>421</v>
      </c>
      <c r="G115" s="19" t="s">
        <v>422</v>
      </c>
      <c r="H115" s="15">
        <v>3</v>
      </c>
      <c r="I115" s="15">
        <v>4</v>
      </c>
      <c r="J115" s="16">
        <f t="shared" si="9"/>
        <v>12</v>
      </c>
      <c r="K115" s="16" t="str">
        <f>INDEX(Escalas!$F$2:$F$5,MATCH(J115,Escalas!$E$2:$E$5,1))</f>
        <v>Alto</v>
      </c>
      <c r="L115" s="16">
        <f>INDEX(Inventario_Activos!$I$2:$I$16,MATCH(D115,Inventario_Activos!$D$2:$D$16,0))</f>
        <v>3</v>
      </c>
      <c r="M115" s="16">
        <f t="shared" si="10"/>
        <v>7</v>
      </c>
      <c r="N115" s="16" t="str">
        <f>INDEX(Escalas!$F$2:$F$5,MATCH(M115,Escalas!$E$2:$E$5,1))</f>
        <v>Moderado</v>
      </c>
      <c r="O115" s="19" t="s">
        <v>74</v>
      </c>
      <c r="P115" s="19" t="s">
        <v>423</v>
      </c>
      <c r="Q115">
        <f t="shared" si="11"/>
        <v>12.00037</v>
      </c>
    </row>
    <row r="116" spans="1:17" ht="45.75" customHeight="1" x14ac:dyDescent="0.25">
      <c r="A116" s="14">
        <v>115</v>
      </c>
      <c r="B116" s="16" t="str">
        <f>Inventario_Activos!B13</f>
        <v>Desarrollo</v>
      </c>
      <c r="C116" s="16" t="str">
        <f>Inventario_Activos!C13</f>
        <v>Software</v>
      </c>
      <c r="D116" s="16" t="str">
        <f>Inventario_Activos!D13</f>
        <v>Repositorio de código (Git)</v>
      </c>
      <c r="E116" s="19" t="s">
        <v>88</v>
      </c>
      <c r="F116" s="19" t="s">
        <v>424</v>
      </c>
      <c r="G116" s="19" t="s">
        <v>425</v>
      </c>
      <c r="H116" s="15">
        <v>3</v>
      </c>
      <c r="I116" s="15">
        <v>5</v>
      </c>
      <c r="J116" s="16">
        <f t="shared" si="9"/>
        <v>15</v>
      </c>
      <c r="K116" s="16" t="str">
        <f>INDEX(Escalas!$F$2:$F$5,MATCH(J116,Escalas!$E$2:$E$5,1))</f>
        <v>Alto</v>
      </c>
      <c r="L116" s="16">
        <f>INDEX(Inventario_Activos!$I$2:$I$16,MATCH(D116,Inventario_Activos!$D$2:$D$16,0))</f>
        <v>3</v>
      </c>
      <c r="M116" s="16">
        <f t="shared" si="10"/>
        <v>9</v>
      </c>
      <c r="N116" s="16" t="str">
        <f>INDEX(Escalas!$F$2:$F$5,MATCH(M116,Escalas!$E$2:$E$5,1))</f>
        <v>Moderado</v>
      </c>
      <c r="O116" s="19" t="s">
        <v>74</v>
      </c>
      <c r="P116" s="19" t="s">
        <v>426</v>
      </c>
      <c r="Q116">
        <f t="shared" si="11"/>
        <v>15.000360000000001</v>
      </c>
    </row>
    <row r="117" spans="1:17" ht="34.5" customHeight="1" x14ac:dyDescent="0.25">
      <c r="A117" s="14">
        <v>116</v>
      </c>
      <c r="B117" s="16" t="str">
        <f>Inventario_Activos!B13</f>
        <v>Desarrollo</v>
      </c>
      <c r="C117" s="16" t="str">
        <f>Inventario_Activos!C13</f>
        <v>Software</v>
      </c>
      <c r="D117" s="16" t="str">
        <f>Inventario_Activos!D13</f>
        <v>Repositorio de código (Git)</v>
      </c>
      <c r="E117" s="19" t="s">
        <v>92</v>
      </c>
      <c r="F117" s="19" t="s">
        <v>427</v>
      </c>
      <c r="G117" s="19" t="s">
        <v>428</v>
      </c>
      <c r="H117" s="15">
        <v>3</v>
      </c>
      <c r="I117" s="15">
        <v>4</v>
      </c>
      <c r="J117" s="16">
        <f t="shared" si="9"/>
        <v>12</v>
      </c>
      <c r="K117" s="16" t="str">
        <f>INDEX(Escalas!$F$2:$F$5,MATCH(J117,Escalas!$E$2:$E$5,1))</f>
        <v>Alto</v>
      </c>
      <c r="L117" s="16">
        <f>INDEX(Inventario_Activos!$I$2:$I$16,MATCH(D117,Inventario_Activos!$D$2:$D$16,0))</f>
        <v>3</v>
      </c>
      <c r="M117" s="16">
        <f t="shared" si="10"/>
        <v>7</v>
      </c>
      <c r="N117" s="16" t="str">
        <f>INDEX(Escalas!$F$2:$F$5,MATCH(M117,Escalas!$E$2:$E$5,1))</f>
        <v>Moderado</v>
      </c>
      <c r="O117" s="19" t="s">
        <v>74</v>
      </c>
      <c r="P117" s="19" t="s">
        <v>429</v>
      </c>
      <c r="Q117">
        <f t="shared" si="11"/>
        <v>12.000349999999999</v>
      </c>
    </row>
    <row r="118" spans="1:17" ht="34.5" customHeight="1" x14ac:dyDescent="0.25">
      <c r="A118" s="14">
        <v>117</v>
      </c>
      <c r="B118" s="16" t="str">
        <f>Inventario_Activos!B13</f>
        <v>Desarrollo</v>
      </c>
      <c r="C118" s="16" t="str">
        <f>Inventario_Activos!C13</f>
        <v>Software</v>
      </c>
      <c r="D118" s="16" t="str">
        <f>Inventario_Activos!D13</f>
        <v>Repositorio de código (Git)</v>
      </c>
      <c r="E118" s="19" t="s">
        <v>96</v>
      </c>
      <c r="F118" s="19" t="s">
        <v>430</v>
      </c>
      <c r="G118" s="19" t="s">
        <v>431</v>
      </c>
      <c r="H118" s="15">
        <v>2</v>
      </c>
      <c r="I118" s="15">
        <v>4</v>
      </c>
      <c r="J118" s="16">
        <f t="shared" si="9"/>
        <v>8</v>
      </c>
      <c r="K118" s="16" t="str">
        <f>INDEX(Escalas!$F$2:$F$5,MATCH(J118,Escalas!$E$2:$E$5,1))</f>
        <v>Moderado</v>
      </c>
      <c r="L118" s="16">
        <f>INDEX(Inventario_Activos!$I$2:$I$16,MATCH(D118,Inventario_Activos!$D$2:$D$16,0))</f>
        <v>3</v>
      </c>
      <c r="M118" s="16">
        <f t="shared" si="10"/>
        <v>5</v>
      </c>
      <c r="N118" s="16" t="str">
        <f>INDEX(Escalas!$F$2:$F$5,MATCH(M118,Escalas!$E$2:$E$5,1))</f>
        <v>Bajo</v>
      </c>
      <c r="O118" s="19" t="s">
        <v>74</v>
      </c>
      <c r="P118" s="19" t="s">
        <v>432</v>
      </c>
      <c r="Q118">
        <f t="shared" si="11"/>
        <v>8.0003399999999996</v>
      </c>
    </row>
    <row r="119" spans="1:17" ht="34.5" customHeight="1" x14ac:dyDescent="0.25">
      <c r="A119" s="14">
        <v>118</v>
      </c>
      <c r="B119" s="16" t="str">
        <f>Inventario_Activos!B13</f>
        <v>Desarrollo</v>
      </c>
      <c r="C119" s="16" t="str">
        <f>Inventario_Activos!C13</f>
        <v>Software</v>
      </c>
      <c r="D119" s="16" t="str">
        <f>Inventario_Activos!D13</f>
        <v>Repositorio de código (Git)</v>
      </c>
      <c r="E119" s="19" t="s">
        <v>100</v>
      </c>
      <c r="F119" s="19" t="s">
        <v>433</v>
      </c>
      <c r="G119" s="19" t="s">
        <v>434</v>
      </c>
      <c r="H119" s="15">
        <v>2</v>
      </c>
      <c r="I119" s="15">
        <v>5</v>
      </c>
      <c r="J119" s="16">
        <f t="shared" si="9"/>
        <v>10</v>
      </c>
      <c r="K119" s="16" t="str">
        <f>INDEX(Escalas!$F$2:$F$5,MATCH(J119,Escalas!$E$2:$E$5,1))</f>
        <v>Moderado</v>
      </c>
      <c r="L119" s="16">
        <f>INDEX(Inventario_Activos!$I$2:$I$16,MATCH(D119,Inventario_Activos!$D$2:$D$16,0))</f>
        <v>3</v>
      </c>
      <c r="M119" s="16">
        <f t="shared" si="10"/>
        <v>6</v>
      </c>
      <c r="N119" s="16" t="str">
        <f>INDEX(Escalas!$F$2:$F$5,MATCH(M119,Escalas!$E$2:$E$5,1))</f>
        <v>Moderado</v>
      </c>
      <c r="O119" s="19" t="s">
        <v>74</v>
      </c>
      <c r="P119" s="19" t="s">
        <v>435</v>
      </c>
      <c r="Q119">
        <f t="shared" si="11"/>
        <v>10.00033</v>
      </c>
    </row>
    <row r="120" spans="1:17" ht="45.75" customHeight="1" x14ac:dyDescent="0.25">
      <c r="A120" s="14">
        <v>119</v>
      </c>
      <c r="B120" s="16" t="str">
        <f>Inventario_Activos!B13</f>
        <v>Desarrollo</v>
      </c>
      <c r="C120" s="16" t="str">
        <f>Inventario_Activos!C13</f>
        <v>Software</v>
      </c>
      <c r="D120" s="16" t="str">
        <f>Inventario_Activos!D13</f>
        <v>Repositorio de código (Git)</v>
      </c>
      <c r="E120" s="19" t="s">
        <v>104</v>
      </c>
      <c r="F120" s="19" t="s">
        <v>436</v>
      </c>
      <c r="G120" s="19" t="s">
        <v>437</v>
      </c>
      <c r="H120" s="15">
        <v>2</v>
      </c>
      <c r="I120" s="15">
        <v>4</v>
      </c>
      <c r="J120" s="16">
        <f t="shared" si="9"/>
        <v>8</v>
      </c>
      <c r="K120" s="16" t="str">
        <f>INDEX(Escalas!$F$2:$F$5,MATCH(J120,Escalas!$E$2:$E$5,1))</f>
        <v>Moderado</v>
      </c>
      <c r="L120" s="16">
        <f>INDEX(Inventario_Activos!$I$2:$I$16,MATCH(D120,Inventario_Activos!$D$2:$D$16,0))</f>
        <v>3</v>
      </c>
      <c r="M120" s="16">
        <f t="shared" si="10"/>
        <v>5</v>
      </c>
      <c r="N120" s="16" t="str">
        <f>INDEX(Escalas!$F$2:$F$5,MATCH(M120,Escalas!$E$2:$E$5,1))</f>
        <v>Bajo</v>
      </c>
      <c r="O120" s="19" t="s">
        <v>74</v>
      </c>
      <c r="P120" s="19" t="s">
        <v>438</v>
      </c>
      <c r="Q120">
        <f t="shared" si="11"/>
        <v>8.0003200000000003</v>
      </c>
    </row>
    <row r="121" spans="1:17" ht="34.5" customHeight="1" x14ac:dyDescent="0.25">
      <c r="A121" s="14">
        <v>120</v>
      </c>
      <c r="B121" s="16" t="str">
        <f>Inventario_Activos!B13</f>
        <v>Desarrollo</v>
      </c>
      <c r="C121" s="16" t="str">
        <f>Inventario_Activos!C13</f>
        <v>Software</v>
      </c>
      <c r="D121" s="16" t="str">
        <f>Inventario_Activos!D13</f>
        <v>Repositorio de código (Git)</v>
      </c>
      <c r="E121" s="19" t="s">
        <v>108</v>
      </c>
      <c r="F121" s="19" t="s">
        <v>439</v>
      </c>
      <c r="G121" s="19" t="s">
        <v>440</v>
      </c>
      <c r="H121" s="15">
        <v>3</v>
      </c>
      <c r="I121" s="15">
        <v>3</v>
      </c>
      <c r="J121" s="16">
        <f t="shared" si="9"/>
        <v>9</v>
      </c>
      <c r="K121" s="16" t="str">
        <f>INDEX(Escalas!$F$2:$F$5,MATCH(J121,Escalas!$E$2:$E$5,1))</f>
        <v>Moderado</v>
      </c>
      <c r="L121" s="16">
        <f>INDEX(Inventario_Activos!$I$2:$I$16,MATCH(D121,Inventario_Activos!$D$2:$D$16,0))</f>
        <v>3</v>
      </c>
      <c r="M121" s="16">
        <f t="shared" si="10"/>
        <v>5</v>
      </c>
      <c r="N121" s="16" t="str">
        <f>INDEX(Escalas!$F$2:$F$5,MATCH(M121,Escalas!$E$2:$E$5,1))</f>
        <v>Bajo</v>
      </c>
      <c r="O121" s="19" t="s">
        <v>74</v>
      </c>
      <c r="P121" s="19" t="s">
        <v>441</v>
      </c>
      <c r="Q121">
        <f t="shared" si="11"/>
        <v>9.0003100000000007</v>
      </c>
    </row>
    <row r="122" spans="1:17" ht="34.5" customHeight="1" x14ac:dyDescent="0.25">
      <c r="A122" s="14">
        <v>121</v>
      </c>
      <c r="B122" s="16" t="str">
        <f>Inventario_Activos!B14</f>
        <v>Desarrollo</v>
      </c>
      <c r="C122" s="16" t="str">
        <f>Inventario_Activos!C14</f>
        <v>Datos</v>
      </c>
      <c r="D122" s="16" t="str">
        <f>Inventario_Activos!D14</f>
        <v>Código fuente y credenciales</v>
      </c>
      <c r="E122" s="19" t="s">
        <v>71</v>
      </c>
      <c r="F122" s="19" t="s">
        <v>442</v>
      </c>
      <c r="G122" s="19" t="s">
        <v>443</v>
      </c>
      <c r="H122" s="15">
        <v>3</v>
      </c>
      <c r="I122" s="15">
        <v>3</v>
      </c>
      <c r="J122" s="16">
        <f t="shared" si="9"/>
        <v>9</v>
      </c>
      <c r="K122" s="16" t="str">
        <f>INDEX(Escalas!$F$2:$F$5,MATCH(J122,Escalas!$E$2:$E$5,1))</f>
        <v>Moderado</v>
      </c>
      <c r="L122" s="16">
        <f>INDEX(Inventario_Activos!$I$2:$I$16,MATCH(D122,Inventario_Activos!$D$2:$D$16,0))</f>
        <v>3</v>
      </c>
      <c r="M122" s="16">
        <f t="shared" si="10"/>
        <v>5</v>
      </c>
      <c r="N122" s="16" t="str">
        <f>INDEX(Escalas!$F$2:$F$5,MATCH(M122,Escalas!$E$2:$E$5,1))</f>
        <v>Bajo</v>
      </c>
      <c r="O122" s="19" t="s">
        <v>74</v>
      </c>
      <c r="P122" s="19" t="s">
        <v>444</v>
      </c>
      <c r="Q122">
        <f t="shared" si="11"/>
        <v>9.0002999999999993</v>
      </c>
    </row>
    <row r="123" spans="1:17" ht="45.75" customHeight="1" x14ac:dyDescent="0.25">
      <c r="A123" s="14">
        <v>122</v>
      </c>
      <c r="B123" s="16" t="str">
        <f>Inventario_Activos!B14</f>
        <v>Desarrollo</v>
      </c>
      <c r="C123" s="16" t="str">
        <f>Inventario_Activos!C14</f>
        <v>Datos</v>
      </c>
      <c r="D123" s="16" t="str">
        <f>Inventario_Activos!D14</f>
        <v>Código fuente y credenciales</v>
      </c>
      <c r="E123" s="19" t="s">
        <v>76</v>
      </c>
      <c r="F123" s="19" t="s">
        <v>445</v>
      </c>
      <c r="G123" s="19" t="s">
        <v>446</v>
      </c>
      <c r="H123" s="15">
        <v>2</v>
      </c>
      <c r="I123" s="15">
        <v>4</v>
      </c>
      <c r="J123" s="16">
        <f t="shared" si="9"/>
        <v>8</v>
      </c>
      <c r="K123" s="16" t="str">
        <f>INDEX(Escalas!$F$2:$F$5,MATCH(J123,Escalas!$E$2:$E$5,1))</f>
        <v>Moderado</v>
      </c>
      <c r="L123" s="16">
        <f>INDEX(Inventario_Activos!$I$2:$I$16,MATCH(D123,Inventario_Activos!$D$2:$D$16,0))</f>
        <v>3</v>
      </c>
      <c r="M123" s="16">
        <f t="shared" si="10"/>
        <v>5</v>
      </c>
      <c r="N123" s="16" t="str">
        <f>INDEX(Escalas!$F$2:$F$5,MATCH(M123,Escalas!$E$2:$E$5,1))</f>
        <v>Bajo</v>
      </c>
      <c r="O123" s="19" t="s">
        <v>74</v>
      </c>
      <c r="P123" s="19" t="s">
        <v>447</v>
      </c>
      <c r="Q123">
        <f t="shared" si="11"/>
        <v>8.0002899999999997</v>
      </c>
    </row>
    <row r="124" spans="1:17" ht="45.75" customHeight="1" x14ac:dyDescent="0.25">
      <c r="A124" s="14">
        <v>123</v>
      </c>
      <c r="B124" s="16" t="str">
        <f>Inventario_Activos!B14</f>
        <v>Desarrollo</v>
      </c>
      <c r="C124" s="16" t="str">
        <f>Inventario_Activos!C14</f>
        <v>Datos</v>
      </c>
      <c r="D124" s="16" t="str">
        <f>Inventario_Activos!D14</f>
        <v>Código fuente y credenciales</v>
      </c>
      <c r="E124" s="19" t="s">
        <v>80</v>
      </c>
      <c r="F124" s="19" t="s">
        <v>448</v>
      </c>
      <c r="G124" s="19" t="s">
        <v>449</v>
      </c>
      <c r="H124" s="15">
        <v>4</v>
      </c>
      <c r="I124" s="15">
        <v>4</v>
      </c>
      <c r="J124" s="16">
        <f t="shared" si="9"/>
        <v>16</v>
      </c>
      <c r="K124" s="16" t="str">
        <f>INDEX(Escalas!$F$2:$F$5,MATCH(J124,Escalas!$E$2:$E$5,1))</f>
        <v>Alto</v>
      </c>
      <c r="L124" s="16">
        <f>INDEX(Inventario_Activos!$I$2:$I$16,MATCH(D124,Inventario_Activos!$D$2:$D$16,0))</f>
        <v>3</v>
      </c>
      <c r="M124" s="16">
        <f t="shared" si="10"/>
        <v>10</v>
      </c>
      <c r="N124" s="16" t="str">
        <f>INDEX(Escalas!$F$2:$F$5,MATCH(M124,Escalas!$E$2:$E$5,1))</f>
        <v>Moderado</v>
      </c>
      <c r="O124" s="19" t="s">
        <v>74</v>
      </c>
      <c r="P124" s="19" t="s">
        <v>450</v>
      </c>
      <c r="Q124">
        <f t="shared" si="11"/>
        <v>16.00028</v>
      </c>
    </row>
    <row r="125" spans="1:17" ht="57" customHeight="1" x14ac:dyDescent="0.25">
      <c r="A125" s="14">
        <v>124</v>
      </c>
      <c r="B125" s="16" t="str">
        <f>Inventario_Activos!B14</f>
        <v>Desarrollo</v>
      </c>
      <c r="C125" s="16" t="str">
        <f>Inventario_Activos!C14</f>
        <v>Datos</v>
      </c>
      <c r="D125" s="16" t="str">
        <f>Inventario_Activos!D14</f>
        <v>Código fuente y credenciales</v>
      </c>
      <c r="E125" s="19" t="s">
        <v>84</v>
      </c>
      <c r="F125" s="19" t="s">
        <v>451</v>
      </c>
      <c r="G125" s="19" t="s">
        <v>452</v>
      </c>
      <c r="H125" s="15">
        <v>4</v>
      </c>
      <c r="I125" s="15">
        <v>5</v>
      </c>
      <c r="J125" s="16">
        <f t="shared" si="9"/>
        <v>20</v>
      </c>
      <c r="K125" s="16" t="str">
        <f>INDEX(Escalas!$F$2:$F$5,MATCH(J125,Escalas!$E$2:$E$5,1))</f>
        <v>Alto</v>
      </c>
      <c r="L125" s="16">
        <f>INDEX(Inventario_Activos!$I$2:$I$16,MATCH(D125,Inventario_Activos!$D$2:$D$16,0))</f>
        <v>3</v>
      </c>
      <c r="M125" s="16">
        <f t="shared" si="10"/>
        <v>12</v>
      </c>
      <c r="N125" s="16" t="str">
        <f>INDEX(Escalas!$F$2:$F$5,MATCH(M125,Escalas!$E$2:$E$5,1))</f>
        <v>Alto</v>
      </c>
      <c r="O125" s="19" t="s">
        <v>74</v>
      </c>
      <c r="P125" s="19" t="s">
        <v>453</v>
      </c>
      <c r="Q125">
        <f t="shared" si="11"/>
        <v>20.00027</v>
      </c>
    </row>
    <row r="126" spans="1:17" ht="34.5" customHeight="1" x14ac:dyDescent="0.25">
      <c r="A126" s="14">
        <v>125</v>
      </c>
      <c r="B126" s="16" t="str">
        <f>Inventario_Activos!B14</f>
        <v>Desarrollo</v>
      </c>
      <c r="C126" s="16" t="str">
        <f>Inventario_Activos!C14</f>
        <v>Datos</v>
      </c>
      <c r="D126" s="16" t="str">
        <f>Inventario_Activos!D14</f>
        <v>Código fuente y credenciales</v>
      </c>
      <c r="E126" s="19" t="s">
        <v>88</v>
      </c>
      <c r="F126" s="19" t="s">
        <v>454</v>
      </c>
      <c r="G126" s="19" t="s">
        <v>455</v>
      </c>
      <c r="H126" s="15">
        <v>3</v>
      </c>
      <c r="I126" s="15">
        <v>4</v>
      </c>
      <c r="J126" s="16">
        <f t="shared" si="9"/>
        <v>12</v>
      </c>
      <c r="K126" s="16" t="str">
        <f>INDEX(Escalas!$F$2:$F$5,MATCH(J126,Escalas!$E$2:$E$5,1))</f>
        <v>Alto</v>
      </c>
      <c r="L126" s="16">
        <f>INDEX(Inventario_Activos!$I$2:$I$16,MATCH(D126,Inventario_Activos!$D$2:$D$16,0))</f>
        <v>3</v>
      </c>
      <c r="M126" s="16">
        <f t="shared" si="10"/>
        <v>7</v>
      </c>
      <c r="N126" s="16" t="str">
        <f>INDEX(Escalas!$F$2:$F$5,MATCH(M126,Escalas!$E$2:$E$5,1))</f>
        <v>Moderado</v>
      </c>
      <c r="O126" s="19" t="s">
        <v>74</v>
      </c>
      <c r="P126" s="19" t="s">
        <v>456</v>
      </c>
      <c r="Q126">
        <f t="shared" si="11"/>
        <v>12.000260000000001</v>
      </c>
    </row>
    <row r="127" spans="1:17" ht="45.75" customHeight="1" x14ac:dyDescent="0.25">
      <c r="A127" s="14">
        <v>126</v>
      </c>
      <c r="B127" s="16" t="str">
        <f>Inventario_Activos!B14</f>
        <v>Desarrollo</v>
      </c>
      <c r="C127" s="16" t="str">
        <f>Inventario_Activos!C14</f>
        <v>Datos</v>
      </c>
      <c r="D127" s="16" t="str">
        <f>Inventario_Activos!D14</f>
        <v>Código fuente y credenciales</v>
      </c>
      <c r="E127" s="19" t="s">
        <v>92</v>
      </c>
      <c r="F127" s="19" t="s">
        <v>457</v>
      </c>
      <c r="G127" s="19" t="s">
        <v>458</v>
      </c>
      <c r="H127" s="15">
        <v>3</v>
      </c>
      <c r="I127" s="15">
        <v>4</v>
      </c>
      <c r="J127" s="16">
        <f t="shared" si="9"/>
        <v>12</v>
      </c>
      <c r="K127" s="16" t="str">
        <f>INDEX(Escalas!$F$2:$F$5,MATCH(J127,Escalas!$E$2:$E$5,1))</f>
        <v>Alto</v>
      </c>
      <c r="L127" s="16">
        <f>INDEX(Inventario_Activos!$I$2:$I$16,MATCH(D127,Inventario_Activos!$D$2:$D$16,0))</f>
        <v>3</v>
      </c>
      <c r="M127" s="16">
        <f t="shared" si="10"/>
        <v>7</v>
      </c>
      <c r="N127" s="16" t="str">
        <f>INDEX(Escalas!$F$2:$F$5,MATCH(M127,Escalas!$E$2:$E$5,1))</f>
        <v>Moderado</v>
      </c>
      <c r="O127" s="19" t="s">
        <v>74</v>
      </c>
      <c r="P127" s="19" t="s">
        <v>459</v>
      </c>
      <c r="Q127">
        <f t="shared" si="11"/>
        <v>12.000249999999999</v>
      </c>
    </row>
    <row r="128" spans="1:17" ht="45.75" customHeight="1" x14ac:dyDescent="0.25">
      <c r="A128" s="14">
        <v>127</v>
      </c>
      <c r="B128" s="16" t="str">
        <f>Inventario_Activos!B14</f>
        <v>Desarrollo</v>
      </c>
      <c r="C128" s="16" t="str">
        <f>Inventario_Activos!C14</f>
        <v>Datos</v>
      </c>
      <c r="D128" s="16" t="str">
        <f>Inventario_Activos!D14</f>
        <v>Código fuente y credenciales</v>
      </c>
      <c r="E128" s="19" t="s">
        <v>96</v>
      </c>
      <c r="F128" s="19" t="s">
        <v>460</v>
      </c>
      <c r="G128" s="19" t="s">
        <v>461</v>
      </c>
      <c r="H128" s="15">
        <v>3</v>
      </c>
      <c r="I128" s="15">
        <v>5</v>
      </c>
      <c r="J128" s="16">
        <f t="shared" si="9"/>
        <v>15</v>
      </c>
      <c r="K128" s="16" t="str">
        <f>INDEX(Escalas!$F$2:$F$5,MATCH(J128,Escalas!$E$2:$E$5,1))</f>
        <v>Alto</v>
      </c>
      <c r="L128" s="16">
        <f>INDEX(Inventario_Activos!$I$2:$I$16,MATCH(D128,Inventario_Activos!$D$2:$D$16,0))</f>
        <v>3</v>
      </c>
      <c r="M128" s="16">
        <f t="shared" si="10"/>
        <v>9</v>
      </c>
      <c r="N128" s="16" t="str">
        <f>INDEX(Escalas!$F$2:$F$5,MATCH(M128,Escalas!$E$2:$E$5,1))</f>
        <v>Moderado</v>
      </c>
      <c r="O128" s="19" t="s">
        <v>74</v>
      </c>
      <c r="P128" s="19" t="s">
        <v>462</v>
      </c>
      <c r="Q128">
        <f t="shared" si="11"/>
        <v>15.00024</v>
      </c>
    </row>
    <row r="129" spans="1:17" ht="34.5" customHeight="1" x14ac:dyDescent="0.25">
      <c r="A129" s="14">
        <v>128</v>
      </c>
      <c r="B129" s="16" t="str">
        <f>Inventario_Activos!B14</f>
        <v>Desarrollo</v>
      </c>
      <c r="C129" s="16" t="str">
        <f>Inventario_Activos!C14</f>
        <v>Datos</v>
      </c>
      <c r="D129" s="16" t="str">
        <f>Inventario_Activos!D14</f>
        <v>Código fuente y credenciales</v>
      </c>
      <c r="E129" s="19" t="s">
        <v>100</v>
      </c>
      <c r="F129" s="19" t="s">
        <v>463</v>
      </c>
      <c r="G129" s="19" t="s">
        <v>464</v>
      </c>
      <c r="H129" s="15">
        <v>2</v>
      </c>
      <c r="I129" s="15">
        <v>4</v>
      </c>
      <c r="J129" s="16">
        <f t="shared" si="9"/>
        <v>8</v>
      </c>
      <c r="K129" s="16" t="str">
        <f>INDEX(Escalas!$F$2:$F$5,MATCH(J129,Escalas!$E$2:$E$5,1))</f>
        <v>Moderado</v>
      </c>
      <c r="L129" s="16">
        <f>INDEX(Inventario_Activos!$I$2:$I$16,MATCH(D129,Inventario_Activos!$D$2:$D$16,0))</f>
        <v>3</v>
      </c>
      <c r="M129" s="16">
        <f t="shared" si="10"/>
        <v>5</v>
      </c>
      <c r="N129" s="16" t="str">
        <f>INDEX(Escalas!$F$2:$F$5,MATCH(M129,Escalas!$E$2:$E$5,1))</f>
        <v>Bajo</v>
      </c>
      <c r="O129" s="19" t="s">
        <v>74</v>
      </c>
      <c r="P129" s="19" t="s">
        <v>465</v>
      </c>
      <c r="Q129">
        <f t="shared" si="11"/>
        <v>8.0002300000000002</v>
      </c>
    </row>
    <row r="130" spans="1:17" ht="45.75" customHeight="1" x14ac:dyDescent="0.25">
      <c r="A130" s="14">
        <v>129</v>
      </c>
      <c r="B130" s="16" t="str">
        <f>Inventario_Activos!B14</f>
        <v>Desarrollo</v>
      </c>
      <c r="C130" s="16" t="str">
        <f>Inventario_Activos!C14</f>
        <v>Datos</v>
      </c>
      <c r="D130" s="16" t="str">
        <f>Inventario_Activos!D14</f>
        <v>Código fuente y credenciales</v>
      </c>
      <c r="E130" s="19" t="s">
        <v>104</v>
      </c>
      <c r="F130" s="19" t="s">
        <v>466</v>
      </c>
      <c r="G130" s="19" t="s">
        <v>467</v>
      </c>
      <c r="H130" s="15">
        <v>3</v>
      </c>
      <c r="I130" s="15">
        <v>5</v>
      </c>
      <c r="J130" s="16">
        <f t="shared" ref="J130:J161" si="12">H130*I130</f>
        <v>15</v>
      </c>
      <c r="K130" s="16" t="str">
        <f>INDEX(Escalas!$F$2:$F$5,MATCH(J130,Escalas!$E$2:$E$5,1))</f>
        <v>Alto</v>
      </c>
      <c r="L130" s="16">
        <f>INDEX(Inventario_Activos!$I$2:$I$16,MATCH(D130,Inventario_Activos!$D$2:$D$16,0))</f>
        <v>3</v>
      </c>
      <c r="M130" s="16">
        <f t="shared" ref="M130:M161" si="13">ROUND(J130*L130/5,0)</f>
        <v>9</v>
      </c>
      <c r="N130" s="16" t="str">
        <f>INDEX(Escalas!$F$2:$F$5,MATCH(M130,Escalas!$E$2:$E$5,1))</f>
        <v>Moderado</v>
      </c>
      <c r="O130" s="19" t="s">
        <v>74</v>
      </c>
      <c r="P130" s="19" t="s">
        <v>468</v>
      </c>
      <c r="Q130">
        <f t="shared" ref="Q130:Q151" si="14">J130+(152-ROW())/100000</f>
        <v>15.000220000000001</v>
      </c>
    </row>
    <row r="131" spans="1:17" ht="45.75" customHeight="1" x14ac:dyDescent="0.25">
      <c r="A131" s="14">
        <v>130</v>
      </c>
      <c r="B131" s="16" t="str">
        <f>Inventario_Activos!B14</f>
        <v>Desarrollo</v>
      </c>
      <c r="C131" s="16" t="str">
        <f>Inventario_Activos!C14</f>
        <v>Datos</v>
      </c>
      <c r="D131" s="16" t="str">
        <f>Inventario_Activos!D14</f>
        <v>Código fuente y credenciales</v>
      </c>
      <c r="E131" s="19" t="s">
        <v>108</v>
      </c>
      <c r="F131" s="19" t="s">
        <v>469</v>
      </c>
      <c r="G131" s="19" t="s">
        <v>470</v>
      </c>
      <c r="H131" s="15">
        <v>3</v>
      </c>
      <c r="I131" s="15">
        <v>4</v>
      </c>
      <c r="J131" s="16">
        <f t="shared" si="12"/>
        <v>12</v>
      </c>
      <c r="K131" s="16" t="str">
        <f>INDEX(Escalas!$F$2:$F$5,MATCH(J131,Escalas!$E$2:$E$5,1))</f>
        <v>Alto</v>
      </c>
      <c r="L131" s="16">
        <f>INDEX(Inventario_Activos!$I$2:$I$16,MATCH(D131,Inventario_Activos!$D$2:$D$16,0))</f>
        <v>3</v>
      </c>
      <c r="M131" s="16">
        <f t="shared" si="13"/>
        <v>7</v>
      </c>
      <c r="N131" s="16" t="str">
        <f>INDEX(Escalas!$F$2:$F$5,MATCH(M131,Escalas!$E$2:$E$5,1))</f>
        <v>Moderado</v>
      </c>
      <c r="O131" s="19" t="s">
        <v>74</v>
      </c>
      <c r="P131" s="19" t="s">
        <v>471</v>
      </c>
      <c r="Q131">
        <f t="shared" si="14"/>
        <v>12.000209999999999</v>
      </c>
    </row>
    <row r="132" spans="1:17" ht="25.5" customHeight="1" x14ac:dyDescent="0.25">
      <c r="A132" s="14">
        <v>131</v>
      </c>
      <c r="B132" s="16" t="str">
        <f>Inventario_Activos!B15</f>
        <v>Desarrollo</v>
      </c>
      <c r="C132" s="16" t="str">
        <f>Inventario_Activos!C15</f>
        <v>Recursos Humanos</v>
      </c>
      <c r="D132" s="16" t="str">
        <f>Inventario_Activos!D15</f>
        <v>Desarrollador</v>
      </c>
      <c r="E132" s="19" t="s">
        <v>71</v>
      </c>
      <c r="F132" s="19" t="s">
        <v>472</v>
      </c>
      <c r="G132" s="19" t="s">
        <v>473</v>
      </c>
      <c r="H132" s="15">
        <v>2</v>
      </c>
      <c r="I132" s="15">
        <v>3</v>
      </c>
      <c r="J132" s="16">
        <f t="shared" si="12"/>
        <v>6</v>
      </c>
      <c r="K132" s="16" t="str">
        <f>INDEX(Escalas!$F$2:$F$5,MATCH(J132,Escalas!$E$2:$E$5,1))</f>
        <v>Moderado</v>
      </c>
      <c r="L132" s="16">
        <f>INDEX(Inventario_Activos!$I$2:$I$16,MATCH(D132,Inventario_Activos!$D$2:$D$16,0))</f>
        <v>3</v>
      </c>
      <c r="M132" s="16">
        <f t="shared" si="13"/>
        <v>4</v>
      </c>
      <c r="N132" s="16" t="str">
        <f>INDEX(Escalas!$F$2:$F$5,MATCH(M132,Escalas!$E$2:$E$5,1))</f>
        <v>Bajo</v>
      </c>
      <c r="O132" s="19" t="s">
        <v>74</v>
      </c>
      <c r="P132" s="19" t="s">
        <v>474</v>
      </c>
      <c r="Q132">
        <f t="shared" si="14"/>
        <v>6.0002000000000004</v>
      </c>
    </row>
    <row r="133" spans="1:17" ht="25.5" customHeight="1" x14ac:dyDescent="0.25">
      <c r="A133" s="14">
        <v>132</v>
      </c>
      <c r="B133" s="16" t="str">
        <f>Inventario_Activos!B15</f>
        <v>Desarrollo</v>
      </c>
      <c r="C133" s="16" t="str">
        <f>Inventario_Activos!C15</f>
        <v>Recursos Humanos</v>
      </c>
      <c r="D133" s="16" t="str">
        <f>Inventario_Activos!D15</f>
        <v>Desarrollador</v>
      </c>
      <c r="E133" s="19" t="s">
        <v>76</v>
      </c>
      <c r="F133" s="19" t="s">
        <v>475</v>
      </c>
      <c r="G133" s="19" t="s">
        <v>476</v>
      </c>
      <c r="H133" s="15">
        <v>3</v>
      </c>
      <c r="I133" s="15">
        <v>5</v>
      </c>
      <c r="J133" s="16">
        <f t="shared" si="12"/>
        <v>15</v>
      </c>
      <c r="K133" s="16" t="str">
        <f>INDEX(Escalas!$F$2:$F$5,MATCH(J133,Escalas!$E$2:$E$5,1))</f>
        <v>Alto</v>
      </c>
      <c r="L133" s="16">
        <f>INDEX(Inventario_Activos!$I$2:$I$16,MATCH(D133,Inventario_Activos!$D$2:$D$16,0))</f>
        <v>3</v>
      </c>
      <c r="M133" s="16">
        <f t="shared" si="13"/>
        <v>9</v>
      </c>
      <c r="N133" s="16" t="str">
        <f>INDEX(Escalas!$F$2:$F$5,MATCH(M133,Escalas!$E$2:$E$5,1))</f>
        <v>Moderado</v>
      </c>
      <c r="O133" s="19" t="s">
        <v>74</v>
      </c>
      <c r="P133" s="19" t="s">
        <v>477</v>
      </c>
      <c r="Q133">
        <f t="shared" si="14"/>
        <v>15.00019</v>
      </c>
    </row>
    <row r="134" spans="1:17" ht="25.5" customHeight="1" x14ac:dyDescent="0.25">
      <c r="A134" s="14">
        <v>133</v>
      </c>
      <c r="B134" s="16" t="str">
        <f>Inventario_Activos!B15</f>
        <v>Desarrollo</v>
      </c>
      <c r="C134" s="16" t="str">
        <f>Inventario_Activos!C15</f>
        <v>Recursos Humanos</v>
      </c>
      <c r="D134" s="16" t="str">
        <f>Inventario_Activos!D15</f>
        <v>Desarrollador</v>
      </c>
      <c r="E134" s="19" t="s">
        <v>80</v>
      </c>
      <c r="F134" s="19" t="s">
        <v>478</v>
      </c>
      <c r="G134" s="19" t="s">
        <v>479</v>
      </c>
      <c r="H134" s="15">
        <v>3</v>
      </c>
      <c r="I134" s="15">
        <v>4</v>
      </c>
      <c r="J134" s="16">
        <f t="shared" si="12"/>
        <v>12</v>
      </c>
      <c r="K134" s="16" t="str">
        <f>INDEX(Escalas!$F$2:$F$5,MATCH(J134,Escalas!$E$2:$E$5,1))</f>
        <v>Alto</v>
      </c>
      <c r="L134" s="16">
        <f>INDEX(Inventario_Activos!$I$2:$I$16,MATCH(D134,Inventario_Activos!$D$2:$D$16,0))</f>
        <v>3</v>
      </c>
      <c r="M134" s="16">
        <f t="shared" si="13"/>
        <v>7</v>
      </c>
      <c r="N134" s="16" t="str">
        <f>INDEX(Escalas!$F$2:$F$5,MATCH(M134,Escalas!$E$2:$E$5,1))</f>
        <v>Moderado</v>
      </c>
      <c r="O134" s="19" t="s">
        <v>74</v>
      </c>
      <c r="P134" s="19" t="s">
        <v>480</v>
      </c>
      <c r="Q134">
        <f t="shared" si="14"/>
        <v>12.00018</v>
      </c>
    </row>
    <row r="135" spans="1:17" ht="25.5" customHeight="1" x14ac:dyDescent="0.25">
      <c r="A135" s="14">
        <v>134</v>
      </c>
      <c r="B135" s="16" t="str">
        <f>Inventario_Activos!B15</f>
        <v>Desarrollo</v>
      </c>
      <c r="C135" s="16" t="str">
        <f>Inventario_Activos!C15</f>
        <v>Recursos Humanos</v>
      </c>
      <c r="D135" s="16" t="str">
        <f>Inventario_Activos!D15</f>
        <v>Desarrollador</v>
      </c>
      <c r="E135" s="19" t="s">
        <v>84</v>
      </c>
      <c r="F135" s="19" t="s">
        <v>481</v>
      </c>
      <c r="G135" s="19" t="s">
        <v>482</v>
      </c>
      <c r="H135" s="15">
        <v>4</v>
      </c>
      <c r="I135" s="15">
        <v>4</v>
      </c>
      <c r="J135" s="16">
        <f t="shared" si="12"/>
        <v>16</v>
      </c>
      <c r="K135" s="16" t="str">
        <f>INDEX(Escalas!$F$2:$F$5,MATCH(J135,Escalas!$E$2:$E$5,1))</f>
        <v>Alto</v>
      </c>
      <c r="L135" s="16">
        <f>INDEX(Inventario_Activos!$I$2:$I$16,MATCH(D135,Inventario_Activos!$D$2:$D$16,0))</f>
        <v>3</v>
      </c>
      <c r="M135" s="16">
        <f t="shared" si="13"/>
        <v>10</v>
      </c>
      <c r="N135" s="16" t="str">
        <f>INDEX(Escalas!$F$2:$F$5,MATCH(M135,Escalas!$E$2:$E$5,1))</f>
        <v>Moderado</v>
      </c>
      <c r="O135" s="19" t="s">
        <v>74</v>
      </c>
      <c r="P135" s="19" t="s">
        <v>483</v>
      </c>
      <c r="Q135">
        <f t="shared" si="14"/>
        <v>16.000170000000001</v>
      </c>
    </row>
    <row r="136" spans="1:17" ht="25.5" customHeight="1" x14ac:dyDescent="0.25">
      <c r="A136" s="14">
        <v>135</v>
      </c>
      <c r="B136" s="16" t="str">
        <f>Inventario_Activos!B15</f>
        <v>Desarrollo</v>
      </c>
      <c r="C136" s="16" t="str">
        <f>Inventario_Activos!C15</f>
        <v>Recursos Humanos</v>
      </c>
      <c r="D136" s="16" t="str">
        <f>Inventario_Activos!D15</f>
        <v>Desarrollador</v>
      </c>
      <c r="E136" s="19" t="s">
        <v>88</v>
      </c>
      <c r="F136" s="19" t="s">
        <v>484</v>
      </c>
      <c r="G136" s="19" t="s">
        <v>485</v>
      </c>
      <c r="H136" s="15">
        <v>3</v>
      </c>
      <c r="I136" s="15">
        <v>4</v>
      </c>
      <c r="J136" s="16">
        <f t="shared" si="12"/>
        <v>12</v>
      </c>
      <c r="K136" s="16" t="str">
        <f>INDEX(Escalas!$F$2:$F$5,MATCH(J136,Escalas!$E$2:$E$5,1))</f>
        <v>Alto</v>
      </c>
      <c r="L136" s="16">
        <f>INDEX(Inventario_Activos!$I$2:$I$16,MATCH(D136,Inventario_Activos!$D$2:$D$16,0))</f>
        <v>3</v>
      </c>
      <c r="M136" s="16">
        <f t="shared" si="13"/>
        <v>7</v>
      </c>
      <c r="N136" s="16" t="str">
        <f>INDEX(Escalas!$F$2:$F$5,MATCH(M136,Escalas!$E$2:$E$5,1))</f>
        <v>Moderado</v>
      </c>
      <c r="O136" s="19" t="s">
        <v>74</v>
      </c>
      <c r="P136" s="19" t="s">
        <v>486</v>
      </c>
      <c r="Q136">
        <f t="shared" si="14"/>
        <v>12.000159999999999</v>
      </c>
    </row>
    <row r="137" spans="1:17" ht="25.5" customHeight="1" x14ac:dyDescent="0.25">
      <c r="A137" s="14">
        <v>136</v>
      </c>
      <c r="B137" s="16" t="str">
        <f>Inventario_Activos!B15</f>
        <v>Desarrollo</v>
      </c>
      <c r="C137" s="16" t="str">
        <f>Inventario_Activos!C15</f>
        <v>Recursos Humanos</v>
      </c>
      <c r="D137" s="16" t="str">
        <f>Inventario_Activos!D15</f>
        <v>Desarrollador</v>
      </c>
      <c r="E137" s="19" t="s">
        <v>92</v>
      </c>
      <c r="F137" s="19" t="s">
        <v>487</v>
      </c>
      <c r="G137" s="19" t="s">
        <v>488</v>
      </c>
      <c r="H137" s="15">
        <v>3</v>
      </c>
      <c r="I137" s="15">
        <v>5</v>
      </c>
      <c r="J137" s="16">
        <f t="shared" si="12"/>
        <v>15</v>
      </c>
      <c r="K137" s="16" t="str">
        <f>INDEX(Escalas!$F$2:$F$5,MATCH(J137,Escalas!$E$2:$E$5,1))</f>
        <v>Alto</v>
      </c>
      <c r="L137" s="16">
        <f>INDEX(Inventario_Activos!$I$2:$I$16,MATCH(D137,Inventario_Activos!$D$2:$D$16,0))</f>
        <v>3</v>
      </c>
      <c r="M137" s="16">
        <f t="shared" si="13"/>
        <v>9</v>
      </c>
      <c r="N137" s="16" t="str">
        <f>INDEX(Escalas!$F$2:$F$5,MATCH(M137,Escalas!$E$2:$E$5,1))</f>
        <v>Moderado</v>
      </c>
      <c r="O137" s="19" t="s">
        <v>74</v>
      </c>
      <c r="P137" s="19" t="s">
        <v>489</v>
      </c>
      <c r="Q137">
        <f t="shared" si="14"/>
        <v>15.00015</v>
      </c>
    </row>
    <row r="138" spans="1:17" ht="25.5" customHeight="1" x14ac:dyDescent="0.25">
      <c r="A138" s="14">
        <v>137</v>
      </c>
      <c r="B138" s="16" t="str">
        <f>Inventario_Activos!B15</f>
        <v>Desarrollo</v>
      </c>
      <c r="C138" s="16" t="str">
        <f>Inventario_Activos!C15</f>
        <v>Recursos Humanos</v>
      </c>
      <c r="D138" s="16" t="str">
        <f>Inventario_Activos!D15</f>
        <v>Desarrollador</v>
      </c>
      <c r="E138" s="19" t="s">
        <v>96</v>
      </c>
      <c r="F138" s="19" t="s">
        <v>490</v>
      </c>
      <c r="G138" s="19" t="s">
        <v>491</v>
      </c>
      <c r="H138" s="15">
        <v>3</v>
      </c>
      <c r="I138" s="15">
        <v>4</v>
      </c>
      <c r="J138" s="16">
        <f t="shared" si="12"/>
        <v>12</v>
      </c>
      <c r="K138" s="16" t="str">
        <f>INDEX(Escalas!$F$2:$F$5,MATCH(J138,Escalas!$E$2:$E$5,1))</f>
        <v>Alto</v>
      </c>
      <c r="L138" s="16">
        <f>INDEX(Inventario_Activos!$I$2:$I$16,MATCH(D138,Inventario_Activos!$D$2:$D$16,0))</f>
        <v>3</v>
      </c>
      <c r="M138" s="16">
        <f t="shared" si="13"/>
        <v>7</v>
      </c>
      <c r="N138" s="16" t="str">
        <f>INDEX(Escalas!$F$2:$F$5,MATCH(M138,Escalas!$E$2:$E$5,1))</f>
        <v>Moderado</v>
      </c>
      <c r="O138" s="19" t="s">
        <v>74</v>
      </c>
      <c r="P138" s="19" t="s">
        <v>492</v>
      </c>
      <c r="Q138">
        <f t="shared" si="14"/>
        <v>12.00014</v>
      </c>
    </row>
    <row r="139" spans="1:17" ht="25.5" customHeight="1" x14ac:dyDescent="0.25">
      <c r="A139" s="14">
        <v>138</v>
      </c>
      <c r="B139" s="16" t="str">
        <f>Inventario_Activos!B15</f>
        <v>Desarrollo</v>
      </c>
      <c r="C139" s="16" t="str">
        <f>Inventario_Activos!C15</f>
        <v>Recursos Humanos</v>
      </c>
      <c r="D139" s="16" t="str">
        <f>Inventario_Activos!D15</f>
        <v>Desarrollador</v>
      </c>
      <c r="E139" s="19" t="s">
        <v>100</v>
      </c>
      <c r="F139" s="19" t="s">
        <v>493</v>
      </c>
      <c r="G139" s="19" t="s">
        <v>494</v>
      </c>
      <c r="H139" s="15">
        <v>3</v>
      </c>
      <c r="I139" s="15">
        <v>4</v>
      </c>
      <c r="J139" s="16">
        <f t="shared" si="12"/>
        <v>12</v>
      </c>
      <c r="K139" s="16" t="str">
        <f>INDEX(Escalas!$F$2:$F$5,MATCH(J139,Escalas!$E$2:$E$5,1))</f>
        <v>Alto</v>
      </c>
      <c r="L139" s="16">
        <f>INDEX(Inventario_Activos!$I$2:$I$16,MATCH(D139,Inventario_Activos!$D$2:$D$16,0))</f>
        <v>3</v>
      </c>
      <c r="M139" s="16">
        <f t="shared" si="13"/>
        <v>7</v>
      </c>
      <c r="N139" s="16" t="str">
        <f>INDEX(Escalas!$F$2:$F$5,MATCH(M139,Escalas!$E$2:$E$5,1))</f>
        <v>Moderado</v>
      </c>
      <c r="O139" s="19" t="s">
        <v>74</v>
      </c>
      <c r="P139" s="19" t="s">
        <v>495</v>
      </c>
      <c r="Q139">
        <f t="shared" si="14"/>
        <v>12.00013</v>
      </c>
    </row>
    <row r="140" spans="1:17" ht="25.5" customHeight="1" x14ac:dyDescent="0.25">
      <c r="A140" s="14">
        <v>139</v>
      </c>
      <c r="B140" s="16" t="str">
        <f>Inventario_Activos!B15</f>
        <v>Desarrollo</v>
      </c>
      <c r="C140" s="16" t="str">
        <f>Inventario_Activos!C15</f>
        <v>Recursos Humanos</v>
      </c>
      <c r="D140" s="16" t="str">
        <f>Inventario_Activos!D15</f>
        <v>Desarrollador</v>
      </c>
      <c r="E140" s="19" t="s">
        <v>104</v>
      </c>
      <c r="F140" s="19" t="s">
        <v>496</v>
      </c>
      <c r="G140" s="19" t="s">
        <v>497</v>
      </c>
      <c r="H140" s="15">
        <v>3</v>
      </c>
      <c r="I140" s="15">
        <v>4</v>
      </c>
      <c r="J140" s="16">
        <f t="shared" si="12"/>
        <v>12</v>
      </c>
      <c r="K140" s="16" t="str">
        <f>INDEX(Escalas!$F$2:$F$5,MATCH(J140,Escalas!$E$2:$E$5,1))</f>
        <v>Alto</v>
      </c>
      <c r="L140" s="16">
        <f>INDEX(Inventario_Activos!$I$2:$I$16,MATCH(D140,Inventario_Activos!$D$2:$D$16,0))</f>
        <v>3</v>
      </c>
      <c r="M140" s="16">
        <f t="shared" si="13"/>
        <v>7</v>
      </c>
      <c r="N140" s="16" t="str">
        <f>INDEX(Escalas!$F$2:$F$5,MATCH(M140,Escalas!$E$2:$E$5,1))</f>
        <v>Moderado</v>
      </c>
      <c r="O140" s="19" t="s">
        <v>74</v>
      </c>
      <c r="P140" s="19" t="s">
        <v>498</v>
      </c>
      <c r="Q140">
        <f t="shared" si="14"/>
        <v>12.000120000000001</v>
      </c>
    </row>
    <row r="141" spans="1:17" ht="25.5" customHeight="1" x14ac:dyDescent="0.25">
      <c r="A141" s="14">
        <v>140</v>
      </c>
      <c r="B141" s="16" t="str">
        <f>Inventario_Activos!B15</f>
        <v>Desarrollo</v>
      </c>
      <c r="C141" s="16" t="str">
        <f>Inventario_Activos!C15</f>
        <v>Recursos Humanos</v>
      </c>
      <c r="D141" s="16" t="str">
        <f>Inventario_Activos!D15</f>
        <v>Desarrollador</v>
      </c>
      <c r="E141" s="19" t="s">
        <v>108</v>
      </c>
      <c r="F141" s="19" t="s">
        <v>499</v>
      </c>
      <c r="G141" s="19" t="s">
        <v>500</v>
      </c>
      <c r="H141" s="15">
        <v>3</v>
      </c>
      <c r="I141" s="15">
        <v>4</v>
      </c>
      <c r="J141" s="16">
        <f t="shared" si="12"/>
        <v>12</v>
      </c>
      <c r="K141" s="16" t="str">
        <f>INDEX(Escalas!$F$2:$F$5,MATCH(J141,Escalas!$E$2:$E$5,1))</f>
        <v>Alto</v>
      </c>
      <c r="L141" s="16">
        <f>INDEX(Inventario_Activos!$I$2:$I$16,MATCH(D141,Inventario_Activos!$D$2:$D$16,0))</f>
        <v>3</v>
      </c>
      <c r="M141" s="16">
        <f t="shared" si="13"/>
        <v>7</v>
      </c>
      <c r="N141" s="16" t="str">
        <f>INDEX(Escalas!$F$2:$F$5,MATCH(M141,Escalas!$E$2:$E$5,1))</f>
        <v>Moderado</v>
      </c>
      <c r="O141" s="19" t="s">
        <v>74</v>
      </c>
      <c r="P141" s="19" t="s">
        <v>501</v>
      </c>
      <c r="Q141">
        <f t="shared" si="14"/>
        <v>12.000109999999999</v>
      </c>
    </row>
    <row r="142" spans="1:17" ht="34.5" customHeight="1" x14ac:dyDescent="0.25">
      <c r="A142" s="14">
        <v>141</v>
      </c>
      <c r="B142" s="16" t="str">
        <f>Inventario_Activos!B16</f>
        <v>Desarrollo</v>
      </c>
      <c r="C142" s="16" t="str">
        <f>Inventario_Activos!C16</f>
        <v>Software</v>
      </c>
      <c r="D142" s="16" t="str">
        <f>Inventario_Activos!D16</f>
        <v>Entorno IDE / CI-CD</v>
      </c>
      <c r="E142" s="19" t="s">
        <v>71</v>
      </c>
      <c r="F142" s="19" t="s">
        <v>502</v>
      </c>
      <c r="G142" s="19" t="s">
        <v>233</v>
      </c>
      <c r="H142" s="15">
        <v>2</v>
      </c>
      <c r="I142" s="15">
        <v>3</v>
      </c>
      <c r="J142" s="16">
        <f t="shared" si="12"/>
        <v>6</v>
      </c>
      <c r="K142" s="16" t="str">
        <f>INDEX(Escalas!$F$2:$F$5,MATCH(J142,Escalas!$E$2:$E$5,1))</f>
        <v>Moderado</v>
      </c>
      <c r="L142" s="16">
        <f>INDEX(Inventario_Activos!$I$2:$I$16,MATCH(D142,Inventario_Activos!$D$2:$D$16,0))</f>
        <v>3</v>
      </c>
      <c r="M142" s="16">
        <f t="shared" si="13"/>
        <v>4</v>
      </c>
      <c r="N142" s="16" t="str">
        <f>INDEX(Escalas!$F$2:$F$5,MATCH(M142,Escalas!$E$2:$E$5,1))</f>
        <v>Bajo</v>
      </c>
      <c r="O142" s="19" t="s">
        <v>74</v>
      </c>
      <c r="P142" s="19" t="s">
        <v>503</v>
      </c>
      <c r="Q142">
        <f t="shared" si="14"/>
        <v>6.0000999999999998</v>
      </c>
    </row>
    <row r="143" spans="1:17" ht="34.5" customHeight="1" x14ac:dyDescent="0.25">
      <c r="A143" s="14">
        <v>142</v>
      </c>
      <c r="B143" s="16" t="str">
        <f>Inventario_Activos!B16</f>
        <v>Desarrollo</v>
      </c>
      <c r="C143" s="16" t="str">
        <f>Inventario_Activos!C16</f>
        <v>Software</v>
      </c>
      <c r="D143" s="16" t="str">
        <f>Inventario_Activos!D16</f>
        <v>Entorno IDE / CI-CD</v>
      </c>
      <c r="E143" s="19" t="s">
        <v>76</v>
      </c>
      <c r="F143" s="19" t="s">
        <v>504</v>
      </c>
      <c r="G143" s="19" t="s">
        <v>505</v>
      </c>
      <c r="H143" s="15">
        <v>3</v>
      </c>
      <c r="I143" s="15">
        <v>4</v>
      </c>
      <c r="J143" s="16">
        <f t="shared" si="12"/>
        <v>12</v>
      </c>
      <c r="K143" s="16" t="str">
        <f>INDEX(Escalas!$F$2:$F$5,MATCH(J143,Escalas!$E$2:$E$5,1))</f>
        <v>Alto</v>
      </c>
      <c r="L143" s="16">
        <f>INDEX(Inventario_Activos!$I$2:$I$16,MATCH(D143,Inventario_Activos!$D$2:$D$16,0))</f>
        <v>3</v>
      </c>
      <c r="M143" s="16">
        <f t="shared" si="13"/>
        <v>7</v>
      </c>
      <c r="N143" s="16" t="str">
        <f>INDEX(Escalas!$F$2:$F$5,MATCH(M143,Escalas!$E$2:$E$5,1))</f>
        <v>Moderado</v>
      </c>
      <c r="O143" s="19" t="s">
        <v>74</v>
      </c>
      <c r="P143" s="19" t="s">
        <v>506</v>
      </c>
      <c r="Q143">
        <f t="shared" si="14"/>
        <v>12.00009</v>
      </c>
    </row>
    <row r="144" spans="1:17" ht="34.5" customHeight="1" x14ac:dyDescent="0.25">
      <c r="A144" s="14">
        <v>143</v>
      </c>
      <c r="B144" s="16" t="str">
        <f>Inventario_Activos!B16</f>
        <v>Desarrollo</v>
      </c>
      <c r="C144" s="16" t="str">
        <f>Inventario_Activos!C16</f>
        <v>Software</v>
      </c>
      <c r="D144" s="16" t="str">
        <f>Inventario_Activos!D16</f>
        <v>Entorno IDE / CI-CD</v>
      </c>
      <c r="E144" s="19" t="s">
        <v>80</v>
      </c>
      <c r="F144" s="19" t="s">
        <v>507</v>
      </c>
      <c r="G144" s="19" t="s">
        <v>508</v>
      </c>
      <c r="H144" s="15">
        <v>3</v>
      </c>
      <c r="I144" s="15">
        <v>4</v>
      </c>
      <c r="J144" s="16">
        <f t="shared" si="12"/>
        <v>12</v>
      </c>
      <c r="K144" s="16" t="str">
        <f>INDEX(Escalas!$F$2:$F$5,MATCH(J144,Escalas!$E$2:$E$5,1))</f>
        <v>Alto</v>
      </c>
      <c r="L144" s="16">
        <f>INDEX(Inventario_Activos!$I$2:$I$16,MATCH(D144,Inventario_Activos!$D$2:$D$16,0))</f>
        <v>3</v>
      </c>
      <c r="M144" s="16">
        <f t="shared" si="13"/>
        <v>7</v>
      </c>
      <c r="N144" s="16" t="str">
        <f>INDEX(Escalas!$F$2:$F$5,MATCH(M144,Escalas!$E$2:$E$5,1))</f>
        <v>Moderado</v>
      </c>
      <c r="O144" s="19" t="s">
        <v>74</v>
      </c>
      <c r="P144" s="19" t="s">
        <v>509</v>
      </c>
      <c r="Q144">
        <f t="shared" si="14"/>
        <v>12.000080000000001</v>
      </c>
    </row>
    <row r="145" spans="1:17" ht="34.5" customHeight="1" x14ac:dyDescent="0.25">
      <c r="A145" s="14">
        <v>144</v>
      </c>
      <c r="B145" s="16" t="str">
        <f>Inventario_Activos!B16</f>
        <v>Desarrollo</v>
      </c>
      <c r="C145" s="16" t="str">
        <f>Inventario_Activos!C16</f>
        <v>Software</v>
      </c>
      <c r="D145" s="16" t="str">
        <f>Inventario_Activos!D16</f>
        <v>Entorno IDE / CI-CD</v>
      </c>
      <c r="E145" s="19" t="s">
        <v>84</v>
      </c>
      <c r="F145" s="19" t="s">
        <v>510</v>
      </c>
      <c r="G145" s="19" t="s">
        <v>511</v>
      </c>
      <c r="H145" s="15">
        <v>3</v>
      </c>
      <c r="I145" s="15">
        <v>5</v>
      </c>
      <c r="J145" s="16">
        <f t="shared" si="12"/>
        <v>15</v>
      </c>
      <c r="K145" s="16" t="str">
        <f>INDEX(Escalas!$F$2:$F$5,MATCH(J145,Escalas!$E$2:$E$5,1))</f>
        <v>Alto</v>
      </c>
      <c r="L145" s="16">
        <f>INDEX(Inventario_Activos!$I$2:$I$16,MATCH(D145,Inventario_Activos!$D$2:$D$16,0))</f>
        <v>3</v>
      </c>
      <c r="M145" s="16">
        <f t="shared" si="13"/>
        <v>9</v>
      </c>
      <c r="N145" s="16" t="str">
        <f>INDEX(Escalas!$F$2:$F$5,MATCH(M145,Escalas!$E$2:$E$5,1))</f>
        <v>Moderado</v>
      </c>
      <c r="O145" s="19" t="s">
        <v>74</v>
      </c>
      <c r="P145" s="19" t="s">
        <v>512</v>
      </c>
      <c r="Q145">
        <f t="shared" si="14"/>
        <v>15.000069999999999</v>
      </c>
    </row>
    <row r="146" spans="1:17" ht="34.5" customHeight="1" x14ac:dyDescent="0.25">
      <c r="A146" s="14">
        <v>145</v>
      </c>
      <c r="B146" s="16" t="str">
        <f>Inventario_Activos!B16</f>
        <v>Desarrollo</v>
      </c>
      <c r="C146" s="16" t="str">
        <f>Inventario_Activos!C16</f>
        <v>Software</v>
      </c>
      <c r="D146" s="16" t="str">
        <f>Inventario_Activos!D16</f>
        <v>Entorno IDE / CI-CD</v>
      </c>
      <c r="E146" s="19" t="s">
        <v>88</v>
      </c>
      <c r="F146" s="19" t="s">
        <v>513</v>
      </c>
      <c r="G146" s="19" t="s">
        <v>514</v>
      </c>
      <c r="H146" s="15">
        <v>3</v>
      </c>
      <c r="I146" s="15">
        <v>5</v>
      </c>
      <c r="J146" s="16">
        <f t="shared" si="12"/>
        <v>15</v>
      </c>
      <c r="K146" s="16" t="str">
        <f>INDEX(Escalas!$F$2:$F$5,MATCH(J146,Escalas!$E$2:$E$5,1))</f>
        <v>Alto</v>
      </c>
      <c r="L146" s="16">
        <f>INDEX(Inventario_Activos!$I$2:$I$16,MATCH(D146,Inventario_Activos!$D$2:$D$16,0))</f>
        <v>3</v>
      </c>
      <c r="M146" s="16">
        <f t="shared" si="13"/>
        <v>9</v>
      </c>
      <c r="N146" s="16" t="str">
        <f>INDEX(Escalas!$F$2:$F$5,MATCH(M146,Escalas!$E$2:$E$5,1))</f>
        <v>Moderado</v>
      </c>
      <c r="O146" s="19" t="s">
        <v>74</v>
      </c>
      <c r="P146" s="19" t="s">
        <v>515</v>
      </c>
      <c r="Q146">
        <f t="shared" si="14"/>
        <v>15.00006</v>
      </c>
    </row>
    <row r="147" spans="1:17" ht="34.5" customHeight="1" x14ac:dyDescent="0.25">
      <c r="A147" s="14">
        <v>146</v>
      </c>
      <c r="B147" s="16" t="str">
        <f>Inventario_Activos!B16</f>
        <v>Desarrollo</v>
      </c>
      <c r="C147" s="16" t="str">
        <f>Inventario_Activos!C16</f>
        <v>Software</v>
      </c>
      <c r="D147" s="16" t="str">
        <f>Inventario_Activos!D16</f>
        <v>Entorno IDE / CI-CD</v>
      </c>
      <c r="E147" s="19" t="s">
        <v>92</v>
      </c>
      <c r="F147" s="19" t="s">
        <v>516</v>
      </c>
      <c r="G147" s="19" t="s">
        <v>517</v>
      </c>
      <c r="H147" s="15">
        <v>3</v>
      </c>
      <c r="I147" s="15">
        <v>5</v>
      </c>
      <c r="J147" s="16">
        <f t="shared" si="12"/>
        <v>15</v>
      </c>
      <c r="K147" s="16" t="str">
        <f>INDEX(Escalas!$F$2:$F$5,MATCH(J147,Escalas!$E$2:$E$5,1))</f>
        <v>Alto</v>
      </c>
      <c r="L147" s="16">
        <f>INDEX(Inventario_Activos!$I$2:$I$16,MATCH(D147,Inventario_Activos!$D$2:$D$16,0))</f>
        <v>3</v>
      </c>
      <c r="M147" s="16">
        <f t="shared" si="13"/>
        <v>9</v>
      </c>
      <c r="N147" s="16" t="str">
        <f>INDEX(Escalas!$F$2:$F$5,MATCH(M147,Escalas!$E$2:$E$5,1))</f>
        <v>Moderado</v>
      </c>
      <c r="O147" s="19" t="s">
        <v>74</v>
      </c>
      <c r="P147" s="19" t="s">
        <v>518</v>
      </c>
      <c r="Q147">
        <f t="shared" si="14"/>
        <v>15.00005</v>
      </c>
    </row>
    <row r="148" spans="1:17" ht="45.75" customHeight="1" x14ac:dyDescent="0.25">
      <c r="A148" s="14">
        <v>147</v>
      </c>
      <c r="B148" s="16" t="str">
        <f>Inventario_Activos!B16</f>
        <v>Desarrollo</v>
      </c>
      <c r="C148" s="16" t="str">
        <f>Inventario_Activos!C16</f>
        <v>Software</v>
      </c>
      <c r="D148" s="16" t="str">
        <f>Inventario_Activos!D16</f>
        <v>Entorno IDE / CI-CD</v>
      </c>
      <c r="E148" s="19" t="s">
        <v>96</v>
      </c>
      <c r="F148" s="19" t="s">
        <v>519</v>
      </c>
      <c r="G148" s="19" t="s">
        <v>520</v>
      </c>
      <c r="H148" s="15">
        <v>3</v>
      </c>
      <c r="I148" s="15">
        <v>4</v>
      </c>
      <c r="J148" s="16">
        <f t="shared" si="12"/>
        <v>12</v>
      </c>
      <c r="K148" s="16" t="str">
        <f>INDEX(Escalas!$F$2:$F$5,MATCH(J148,Escalas!$E$2:$E$5,1))</f>
        <v>Alto</v>
      </c>
      <c r="L148" s="16">
        <f>INDEX(Inventario_Activos!$I$2:$I$16,MATCH(D148,Inventario_Activos!$D$2:$D$16,0))</f>
        <v>3</v>
      </c>
      <c r="M148" s="16">
        <f t="shared" si="13"/>
        <v>7</v>
      </c>
      <c r="N148" s="16" t="str">
        <f>INDEX(Escalas!$F$2:$F$5,MATCH(M148,Escalas!$E$2:$E$5,1))</f>
        <v>Moderado</v>
      </c>
      <c r="O148" s="19" t="s">
        <v>74</v>
      </c>
      <c r="P148" s="19" t="s">
        <v>521</v>
      </c>
      <c r="Q148">
        <f t="shared" si="14"/>
        <v>12.00004</v>
      </c>
    </row>
    <row r="149" spans="1:17" ht="34.5" customHeight="1" x14ac:dyDescent="0.25">
      <c r="A149" s="14">
        <v>148</v>
      </c>
      <c r="B149" s="16" t="str">
        <f>Inventario_Activos!B16</f>
        <v>Desarrollo</v>
      </c>
      <c r="C149" s="16" t="str">
        <f>Inventario_Activos!C16</f>
        <v>Software</v>
      </c>
      <c r="D149" s="16" t="str">
        <f>Inventario_Activos!D16</f>
        <v>Entorno IDE / CI-CD</v>
      </c>
      <c r="E149" s="19" t="s">
        <v>100</v>
      </c>
      <c r="F149" s="19" t="s">
        <v>522</v>
      </c>
      <c r="G149" s="19" t="s">
        <v>523</v>
      </c>
      <c r="H149" s="15">
        <v>2</v>
      </c>
      <c r="I149" s="15">
        <v>4</v>
      </c>
      <c r="J149" s="16">
        <f t="shared" si="12"/>
        <v>8</v>
      </c>
      <c r="K149" s="16" t="str">
        <f>INDEX(Escalas!$F$2:$F$5,MATCH(J149,Escalas!$E$2:$E$5,1))</f>
        <v>Moderado</v>
      </c>
      <c r="L149" s="16">
        <f>INDEX(Inventario_Activos!$I$2:$I$16,MATCH(D149,Inventario_Activos!$D$2:$D$16,0))</f>
        <v>3</v>
      </c>
      <c r="M149" s="16">
        <f t="shared" si="13"/>
        <v>5</v>
      </c>
      <c r="N149" s="16" t="str">
        <f>INDEX(Escalas!$F$2:$F$5,MATCH(M149,Escalas!$E$2:$E$5,1))</f>
        <v>Bajo</v>
      </c>
      <c r="O149" s="19" t="s">
        <v>74</v>
      </c>
      <c r="P149" s="19" t="s">
        <v>524</v>
      </c>
      <c r="Q149">
        <f t="shared" si="14"/>
        <v>8.0000300000000006</v>
      </c>
    </row>
    <row r="150" spans="1:17" ht="34.5" customHeight="1" x14ac:dyDescent="0.25">
      <c r="A150" s="14">
        <v>149</v>
      </c>
      <c r="B150" s="16" t="str">
        <f>Inventario_Activos!B16</f>
        <v>Desarrollo</v>
      </c>
      <c r="C150" s="16" t="str">
        <f>Inventario_Activos!C16</f>
        <v>Software</v>
      </c>
      <c r="D150" s="16" t="str">
        <f>Inventario_Activos!D16</f>
        <v>Entorno IDE / CI-CD</v>
      </c>
      <c r="E150" s="19" t="s">
        <v>104</v>
      </c>
      <c r="F150" s="19" t="s">
        <v>525</v>
      </c>
      <c r="G150" s="19" t="s">
        <v>526</v>
      </c>
      <c r="H150" s="15">
        <v>3</v>
      </c>
      <c r="I150" s="15">
        <v>4</v>
      </c>
      <c r="J150" s="16">
        <f t="shared" si="12"/>
        <v>12</v>
      </c>
      <c r="K150" s="16" t="str">
        <f>INDEX(Escalas!$F$2:$F$5,MATCH(J150,Escalas!$E$2:$E$5,1))</f>
        <v>Alto</v>
      </c>
      <c r="L150" s="16">
        <f>INDEX(Inventario_Activos!$I$2:$I$16,MATCH(D150,Inventario_Activos!$D$2:$D$16,0))</f>
        <v>3</v>
      </c>
      <c r="M150" s="16">
        <f t="shared" si="13"/>
        <v>7</v>
      </c>
      <c r="N150" s="16" t="str">
        <f>INDEX(Escalas!$F$2:$F$5,MATCH(M150,Escalas!$E$2:$E$5,1))</f>
        <v>Moderado</v>
      </c>
      <c r="O150" s="19" t="s">
        <v>74</v>
      </c>
      <c r="P150" s="19" t="s">
        <v>527</v>
      </c>
      <c r="Q150">
        <f t="shared" si="14"/>
        <v>12.000019999999999</v>
      </c>
    </row>
    <row r="151" spans="1:17" ht="45.75" customHeight="1" x14ac:dyDescent="0.25">
      <c r="A151" s="14">
        <v>150</v>
      </c>
      <c r="B151" s="16" t="str">
        <f>Inventario_Activos!B16</f>
        <v>Desarrollo</v>
      </c>
      <c r="C151" s="16" t="str">
        <f>Inventario_Activos!C16</f>
        <v>Software</v>
      </c>
      <c r="D151" s="16" t="str">
        <f>Inventario_Activos!D16</f>
        <v>Entorno IDE / CI-CD</v>
      </c>
      <c r="E151" s="19" t="s">
        <v>108</v>
      </c>
      <c r="F151" s="19" t="s">
        <v>528</v>
      </c>
      <c r="G151" s="19" t="s">
        <v>529</v>
      </c>
      <c r="H151" s="15">
        <v>3</v>
      </c>
      <c r="I151" s="15">
        <v>3</v>
      </c>
      <c r="J151" s="16">
        <f t="shared" si="12"/>
        <v>9</v>
      </c>
      <c r="K151" s="16" t="str">
        <f>INDEX(Escalas!$F$2:$F$5,MATCH(J151,Escalas!$E$2:$E$5,1))</f>
        <v>Moderado</v>
      </c>
      <c r="L151" s="16">
        <f>INDEX(Inventario_Activos!$I$2:$I$16,MATCH(D151,Inventario_Activos!$D$2:$D$16,0))</f>
        <v>3</v>
      </c>
      <c r="M151" s="16">
        <f t="shared" si="13"/>
        <v>5</v>
      </c>
      <c r="N151" s="16" t="str">
        <f>INDEX(Escalas!$F$2:$F$5,MATCH(M151,Escalas!$E$2:$E$5,1))</f>
        <v>Bajo</v>
      </c>
      <c r="O151" s="19" t="s">
        <v>74</v>
      </c>
      <c r="P151" s="19" t="s">
        <v>530</v>
      </c>
      <c r="Q151">
        <f t="shared" si="14"/>
        <v>9.0000099999999996</v>
      </c>
    </row>
  </sheetData>
  <conditionalFormatting sqref="K2:K151">
    <cfRule type="cellIs" dxfId="11" priority="2" operator="equal">
      <formula>"Bajo"</formula>
    </cfRule>
    <cfRule type="cellIs" dxfId="10" priority="3" operator="equal">
      <formula>"Moderado"</formula>
    </cfRule>
    <cfRule type="cellIs" dxfId="9" priority="4" operator="equal">
      <formula>"Alto"</formula>
    </cfRule>
    <cfRule type="cellIs" dxfId="8" priority="5" operator="equal">
      <formula>"Crítico"</formula>
    </cfRule>
  </conditionalFormatting>
  <conditionalFormatting sqref="N2:N151">
    <cfRule type="cellIs" dxfId="7" priority="6" operator="equal">
      <formula>"Bajo"</formula>
    </cfRule>
    <cfRule type="cellIs" dxfId="6" priority="7" operator="equal">
      <formula>"Moderado"</formula>
    </cfRule>
    <cfRule type="cellIs" dxfId="5" priority="8" operator="equal">
      <formula>"Alto"</formula>
    </cfRule>
    <cfRule type="cellIs" dxfId="4" priority="9" operator="equal">
      <formula>"Crítico"</formula>
    </cfRule>
  </conditionalFormatting>
  <dataValidations count="2">
    <dataValidation type="list" allowBlank="1" sqref="O2:O151" xr:uid="{00000000-0002-0000-0200-000000000000}">
      <formula1>"Evitar,Reducir/Mitigar,Transferir,Aceptar"</formula1>
      <formula2>0</formula2>
    </dataValidation>
    <dataValidation type="whole" allowBlank="1" sqref="H2:I151" xr:uid="{00000000-0002-0000-0200-000001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="90" zoomScaleNormal="90" workbookViewId="0">
      <selection activeCell="D12" sqref="D12:E18"/>
    </sheetView>
  </sheetViews>
  <sheetFormatPr baseColWidth="10" defaultColWidth="8.7109375" defaultRowHeight="15" x14ac:dyDescent="0.25"/>
  <cols>
    <col min="1" max="1" width="22" customWidth="1"/>
    <col min="2" max="6" width="12" customWidth="1"/>
  </cols>
  <sheetData>
    <row r="1" spans="1:6" ht="16.5" customHeight="1" x14ac:dyDescent="0.25">
      <c r="A1" s="4" t="s">
        <v>531</v>
      </c>
      <c r="B1" s="4"/>
      <c r="C1" s="4"/>
      <c r="D1" s="4"/>
      <c r="E1" s="4"/>
      <c r="F1" s="4"/>
    </row>
    <row r="3" spans="1:6" ht="30" customHeight="1" x14ac:dyDescent="0.25">
      <c r="A3" s="20" t="s">
        <v>532</v>
      </c>
      <c r="B3" s="21">
        <v>1</v>
      </c>
      <c r="C3" s="21">
        <v>2</v>
      </c>
      <c r="D3" s="21">
        <v>3</v>
      </c>
      <c r="E3" s="21">
        <v>4</v>
      </c>
      <c r="F3" s="21">
        <v>5</v>
      </c>
    </row>
    <row r="4" spans="1:6" ht="15" customHeight="1" x14ac:dyDescent="0.25">
      <c r="A4" s="21">
        <v>1</v>
      </c>
      <c r="B4" s="22">
        <f>COUNTIFS(Riesgos!$H$2:$H$151,1,Riesgos!$I$2:$I$151,1)</f>
        <v>0</v>
      </c>
      <c r="C4" s="22">
        <f>COUNTIFS(Riesgos!$H$2:$H$151,1,Riesgos!$I$2:$I$151,2)</f>
        <v>0</v>
      </c>
      <c r="D4" s="22">
        <f>COUNTIFS(Riesgos!$H$2:$H$151,1,Riesgos!$I$2:$I$151,3)</f>
        <v>0</v>
      </c>
      <c r="E4" s="22">
        <f>COUNTIFS(Riesgos!$H$2:$H$151,1,Riesgos!$I$2:$I$151,4)</f>
        <v>0</v>
      </c>
      <c r="F4" s="22">
        <f>COUNTIFS(Riesgos!$H$2:$H$151,1,Riesgos!$I$2:$I$151,5)</f>
        <v>0</v>
      </c>
    </row>
    <row r="5" spans="1:6" ht="15" customHeight="1" x14ac:dyDescent="0.25">
      <c r="A5" s="21">
        <v>2</v>
      </c>
      <c r="B5" s="22">
        <f>COUNTIFS(Riesgos!$H$2:$H$151,2,Riesgos!$I$2:$I$151,1)</f>
        <v>0</v>
      </c>
      <c r="C5" s="22">
        <f>COUNTIFS(Riesgos!$H$2:$H$151,2,Riesgos!$I$2:$I$151,2)</f>
        <v>7</v>
      </c>
      <c r="D5" s="22">
        <f>COUNTIFS(Riesgos!$H$2:$H$151,2,Riesgos!$I$2:$I$151,3)</f>
        <v>12</v>
      </c>
      <c r="E5" s="22">
        <f>COUNTIFS(Riesgos!$H$2:$H$151,2,Riesgos!$I$2:$I$151,4)</f>
        <v>11</v>
      </c>
      <c r="F5" s="22">
        <f>COUNTIFS(Riesgos!$H$2:$H$151,2,Riesgos!$I$2:$I$151,5)</f>
        <v>9</v>
      </c>
    </row>
    <row r="6" spans="1:6" ht="15" customHeight="1" x14ac:dyDescent="0.25">
      <c r="A6" s="21">
        <v>3</v>
      </c>
      <c r="B6" s="22">
        <f>COUNTIFS(Riesgos!$H$2:$H$151,3,Riesgos!$I$2:$I$151,1)</f>
        <v>0</v>
      </c>
      <c r="C6" s="22">
        <f>COUNTIFS(Riesgos!$H$2:$H$151,3,Riesgos!$I$2:$I$151,2)</f>
        <v>3</v>
      </c>
      <c r="D6" s="22">
        <f>COUNTIFS(Riesgos!$H$2:$H$151,3,Riesgos!$I$2:$I$151,3)</f>
        <v>32</v>
      </c>
      <c r="E6" s="22">
        <f>COUNTIFS(Riesgos!$H$2:$H$151,3,Riesgos!$I$2:$I$151,4)</f>
        <v>43</v>
      </c>
      <c r="F6" s="22">
        <f>COUNTIFS(Riesgos!$H$2:$H$151,3,Riesgos!$I$2:$I$151,5)</f>
        <v>26</v>
      </c>
    </row>
    <row r="7" spans="1:6" ht="15" customHeight="1" x14ac:dyDescent="0.25">
      <c r="A7" s="21">
        <v>4</v>
      </c>
      <c r="B7" s="22">
        <f>COUNTIFS(Riesgos!$H$2:$H$151,4,Riesgos!$I$2:$I$151,1)</f>
        <v>0</v>
      </c>
      <c r="C7" s="22">
        <f>COUNTIFS(Riesgos!$H$2:$H$151,4,Riesgos!$I$2:$I$151,2)</f>
        <v>0</v>
      </c>
      <c r="D7" s="22">
        <f>COUNTIFS(Riesgos!$H$2:$H$151,4,Riesgos!$I$2:$I$151,3)</f>
        <v>0</v>
      </c>
      <c r="E7" s="22">
        <f>COUNTIFS(Riesgos!$H$2:$H$151,4,Riesgos!$I$2:$I$151,4)</f>
        <v>6</v>
      </c>
      <c r="F7" s="22">
        <f>COUNTIFS(Riesgos!$H$2:$H$151,4,Riesgos!$I$2:$I$151,5)</f>
        <v>1</v>
      </c>
    </row>
    <row r="8" spans="1:6" ht="15" customHeight="1" x14ac:dyDescent="0.25">
      <c r="A8" s="21">
        <v>5</v>
      </c>
      <c r="B8" s="22">
        <f>COUNTIFS(Riesgos!$H$2:$H$151,5,Riesgos!$I$2:$I$151,1)</f>
        <v>0</v>
      </c>
      <c r="C8" s="22">
        <f>COUNTIFS(Riesgos!$H$2:$H$151,5,Riesgos!$I$2:$I$151,2)</f>
        <v>0</v>
      </c>
      <c r="D8" s="22">
        <f>COUNTIFS(Riesgos!$H$2:$H$151,5,Riesgos!$I$2:$I$151,3)</f>
        <v>0</v>
      </c>
      <c r="E8" s="22">
        <f>COUNTIFS(Riesgos!$H$2:$H$151,5,Riesgos!$I$2:$I$151,4)</f>
        <v>0</v>
      </c>
      <c r="F8" s="22">
        <f>COUNTIFS(Riesgos!$H$2:$H$151,5,Riesgos!$I$2:$I$151,5)</f>
        <v>0</v>
      </c>
    </row>
    <row r="10" spans="1:6" ht="15" customHeight="1" x14ac:dyDescent="0.25">
      <c r="A10" s="11" t="s">
        <v>533</v>
      </c>
      <c r="B10" s="13">
        <f>COUNTA(Riesgos!$A$2:$A$151)</f>
        <v>150</v>
      </c>
    </row>
    <row r="12" spans="1:6" ht="15" customHeight="1" x14ac:dyDescent="0.25">
      <c r="A12" s="11" t="s">
        <v>534</v>
      </c>
      <c r="D12" s="11" t="s">
        <v>535</v>
      </c>
    </row>
    <row r="13" spans="1:6" ht="30" customHeight="1" x14ac:dyDescent="0.25">
      <c r="A13" s="23" t="s">
        <v>536</v>
      </c>
      <c r="B13" s="23" t="s">
        <v>537</v>
      </c>
      <c r="D13" s="23" t="s">
        <v>536</v>
      </c>
      <c r="E13" s="23" t="s">
        <v>537</v>
      </c>
    </row>
    <row r="14" spans="1:6" ht="15" customHeight="1" x14ac:dyDescent="0.25">
      <c r="A14" s="24" t="s">
        <v>538</v>
      </c>
      <c r="B14" s="25">
        <f>COUNTIF(Riesgos!$K$2:$K$151,"Bajo")</f>
        <v>7</v>
      </c>
      <c r="D14" s="24" t="s">
        <v>538</v>
      </c>
      <c r="E14" s="25">
        <f>COUNTIF(Riesgos!$N$2:$N$151,"Bajo")</f>
        <v>64</v>
      </c>
    </row>
    <row r="15" spans="1:6" ht="15" customHeight="1" x14ac:dyDescent="0.25">
      <c r="A15" s="26" t="s">
        <v>539</v>
      </c>
      <c r="B15" s="25">
        <f>COUNTIF(Riesgos!$K$2:$K$151,"Moderado")</f>
        <v>67</v>
      </c>
      <c r="D15" s="26" t="s">
        <v>539</v>
      </c>
      <c r="E15" s="25">
        <f>COUNTIF(Riesgos!$N$2:$N$151,"Moderado")</f>
        <v>78</v>
      </c>
    </row>
    <row r="16" spans="1:6" ht="15" customHeight="1" x14ac:dyDescent="0.25">
      <c r="A16" s="27" t="s">
        <v>540</v>
      </c>
      <c r="B16" s="25">
        <f>COUNTIF(Riesgos!$K$2:$K$151,"Alto")</f>
        <v>76</v>
      </c>
      <c r="D16" s="27" t="s">
        <v>540</v>
      </c>
      <c r="E16" s="25">
        <f>COUNTIF(Riesgos!$N$2:$N$151,"Alto")</f>
        <v>8</v>
      </c>
    </row>
    <row r="17" spans="1:5" ht="15" customHeight="1" x14ac:dyDescent="0.25">
      <c r="A17" s="28" t="s">
        <v>541</v>
      </c>
      <c r="B17" s="25">
        <f>COUNTIF(Riesgos!$K$2:$K$151,"Crítico")</f>
        <v>0</v>
      </c>
      <c r="D17" s="28" t="s">
        <v>541</v>
      </c>
      <c r="E17" s="25">
        <f>COUNTIF(Riesgos!$N$2:$N$151,"Crítico")</f>
        <v>0</v>
      </c>
    </row>
  </sheetData>
  <mergeCells count="1">
    <mergeCell ref="A1:F1"/>
  </mergeCells>
  <conditionalFormatting sqref="B4:F8">
    <cfRule type="colorScale" priority="2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zoomScale="90" zoomScaleNormal="90" workbookViewId="0">
      <pane ySplit="1" topLeftCell="A2" activePane="bottomLeft" state="frozen"/>
      <selection pane="bottomLeft" activeCell="H1" sqref="H1"/>
    </sheetView>
  </sheetViews>
  <sheetFormatPr baseColWidth="10" defaultColWidth="8.7109375" defaultRowHeight="15" x14ac:dyDescent="0.25"/>
  <cols>
    <col min="1" max="1" width="5" customWidth="1"/>
    <col min="2" max="2" width="30" customWidth="1"/>
    <col min="3" max="7" width="12" customWidth="1"/>
    <col min="8" max="8" width="18" customWidth="1"/>
  </cols>
  <sheetData>
    <row r="1" spans="1:8" ht="33.75" customHeight="1" x14ac:dyDescent="0.25">
      <c r="A1" s="8" t="s">
        <v>20</v>
      </c>
      <c r="B1" s="8" t="s">
        <v>58</v>
      </c>
      <c r="C1" s="8" t="s">
        <v>66</v>
      </c>
      <c r="D1" s="8" t="s">
        <v>542</v>
      </c>
      <c r="E1" s="8" t="s">
        <v>543</v>
      </c>
      <c r="F1" s="8" t="s">
        <v>544</v>
      </c>
      <c r="G1" s="8" t="s">
        <v>545</v>
      </c>
      <c r="H1" s="8" t="s">
        <v>546</v>
      </c>
    </row>
    <row r="2" spans="1:8" ht="15" customHeight="1" x14ac:dyDescent="0.25">
      <c r="A2" s="16">
        <v>1</v>
      </c>
      <c r="B2" s="16" t="str">
        <f>Inventario_Activos!D2</f>
        <v>Servidor de Base de Datos</v>
      </c>
      <c r="C2" s="16">
        <f>Inventario_Activos!I2</f>
        <v>5</v>
      </c>
      <c r="D2" s="16">
        <f>COUNTIFS(Riesgos!$D$2:$D$151,B2,Riesgos!$K$2:$K$151,"Bajo")</f>
        <v>0</v>
      </c>
      <c r="E2" s="16">
        <f>COUNTIFS(Riesgos!$D$2:$D$151,B2,Riesgos!$K$2:$K$151,"Moderado")</f>
        <v>3</v>
      </c>
      <c r="F2" s="16">
        <f>COUNTIFS(Riesgos!$D$2:$D$151,B2,Riesgos!$K$2:$K$151,"Alto")</f>
        <v>7</v>
      </c>
      <c r="G2" s="16">
        <f>COUNTIFS(Riesgos!$D$2:$D$151,B2,Riesgos!$K$2:$K$151,"Crítico")</f>
        <v>0</v>
      </c>
      <c r="H2" s="16" t="str">
        <f t="shared" ref="H2:H16" si="0">IF(G2&gt;0,"Prioridad Muy Alta",IF(F2&gt;0,"Prioridad Alta",IF(E2&gt;0,"Prioridad Media","Prioridad Baja")))</f>
        <v>Prioridad Alta</v>
      </c>
    </row>
    <row r="3" spans="1:8" ht="15" customHeight="1" x14ac:dyDescent="0.25">
      <c r="A3" s="16">
        <v>2</v>
      </c>
      <c r="B3" s="16" t="str">
        <f>Inventario_Activos!D3</f>
        <v>Sistema ERP / Facturación</v>
      </c>
      <c r="C3" s="16">
        <f>Inventario_Activos!I3</f>
        <v>3</v>
      </c>
      <c r="D3" s="16">
        <f>COUNTIFS(Riesgos!$D$2:$D$151,B3,Riesgos!$K$2:$K$151,"Bajo")</f>
        <v>0</v>
      </c>
      <c r="E3" s="16">
        <f>COUNTIFS(Riesgos!$D$2:$D$151,B3,Riesgos!$K$2:$K$151,"Moderado")</f>
        <v>4</v>
      </c>
      <c r="F3" s="16">
        <f>COUNTIFS(Riesgos!$D$2:$D$151,B3,Riesgos!$K$2:$K$151,"Alto")</f>
        <v>6</v>
      </c>
      <c r="G3" s="16">
        <f>COUNTIFS(Riesgos!$D$2:$D$151,B3,Riesgos!$K$2:$K$151,"Crítico")</f>
        <v>0</v>
      </c>
      <c r="H3" s="16" t="str">
        <f t="shared" si="0"/>
        <v>Prioridad Alta</v>
      </c>
    </row>
    <row r="4" spans="1:8" ht="15" customHeight="1" x14ac:dyDescent="0.25">
      <c r="A4" s="16">
        <v>3</v>
      </c>
      <c r="B4" s="16" t="str">
        <f>Inventario_Activos!D4</f>
        <v>Datos de clientes</v>
      </c>
      <c r="C4" s="16">
        <f>Inventario_Activos!I4</f>
        <v>3</v>
      </c>
      <c r="D4" s="16">
        <f>COUNTIFS(Riesgos!$D$2:$D$151,B4,Riesgos!$K$2:$K$151,"Bajo")</f>
        <v>0</v>
      </c>
      <c r="E4" s="16">
        <f>COUNTIFS(Riesgos!$D$2:$D$151,B4,Riesgos!$K$2:$K$151,"Moderado")</f>
        <v>3</v>
      </c>
      <c r="F4" s="16">
        <f>COUNTIFS(Riesgos!$D$2:$D$151,B4,Riesgos!$K$2:$K$151,"Alto")</f>
        <v>7</v>
      </c>
      <c r="G4" s="16">
        <f>COUNTIFS(Riesgos!$D$2:$D$151,B4,Riesgos!$K$2:$K$151,"Crítico")</f>
        <v>0</v>
      </c>
      <c r="H4" s="16" t="str">
        <f t="shared" si="0"/>
        <v>Prioridad Alta</v>
      </c>
    </row>
    <row r="5" spans="1:8" ht="15" customHeight="1" x14ac:dyDescent="0.25">
      <c r="A5" s="16">
        <v>4</v>
      </c>
      <c r="B5" s="16" t="str">
        <f>Inventario_Activos!D5</f>
        <v>Administrador de sistemas</v>
      </c>
      <c r="C5" s="16">
        <f>Inventario_Activos!I5</f>
        <v>3</v>
      </c>
      <c r="D5" s="16">
        <f>COUNTIFS(Riesgos!$D$2:$D$151,B5,Riesgos!$K$2:$K$151,"Bajo")</f>
        <v>0</v>
      </c>
      <c r="E5" s="16">
        <f>COUNTIFS(Riesgos!$D$2:$D$151,B5,Riesgos!$K$2:$K$151,"Moderado")</f>
        <v>3</v>
      </c>
      <c r="F5" s="16">
        <f>COUNTIFS(Riesgos!$D$2:$D$151,B5,Riesgos!$K$2:$K$151,"Alto")</f>
        <v>7</v>
      </c>
      <c r="G5" s="16">
        <f>COUNTIFS(Riesgos!$D$2:$D$151,B5,Riesgos!$K$2:$K$151,"Crítico")</f>
        <v>0</v>
      </c>
      <c r="H5" s="16" t="str">
        <f t="shared" si="0"/>
        <v>Prioridad Alta</v>
      </c>
    </row>
    <row r="6" spans="1:8" ht="15" customHeight="1" x14ac:dyDescent="0.25">
      <c r="A6" s="16">
        <v>5</v>
      </c>
      <c r="B6" s="16" t="str">
        <f>Inventario_Activos!D6</f>
        <v>Firewall / Router de borde</v>
      </c>
      <c r="C6" s="16">
        <f>Inventario_Activos!I6</f>
        <v>3</v>
      </c>
      <c r="D6" s="16">
        <f>COUNTIFS(Riesgos!$D$2:$D$151,B6,Riesgos!$K$2:$K$151,"Bajo")</f>
        <v>0</v>
      </c>
      <c r="E6" s="16">
        <f>COUNTIFS(Riesgos!$D$2:$D$151,B6,Riesgos!$K$2:$K$151,"Moderado")</f>
        <v>4</v>
      </c>
      <c r="F6" s="16">
        <f>COUNTIFS(Riesgos!$D$2:$D$151,B6,Riesgos!$K$2:$K$151,"Alto")</f>
        <v>6</v>
      </c>
      <c r="G6" s="16">
        <f>COUNTIFS(Riesgos!$D$2:$D$151,B6,Riesgos!$K$2:$K$151,"Crítico")</f>
        <v>0</v>
      </c>
      <c r="H6" s="16" t="str">
        <f t="shared" si="0"/>
        <v>Prioridad Alta</v>
      </c>
    </row>
    <row r="7" spans="1:8" ht="15" customHeight="1" x14ac:dyDescent="0.25">
      <c r="A7" s="16">
        <v>6</v>
      </c>
      <c r="B7" s="16" t="str">
        <f>Inventario_Activos!D7</f>
        <v>Servidor de pruebas</v>
      </c>
      <c r="C7" s="16">
        <f>Inventario_Activos!I7</f>
        <v>3</v>
      </c>
      <c r="D7" s="16">
        <f>COUNTIFS(Riesgos!$D$2:$D$151,B7,Riesgos!$K$2:$K$151,"Bajo")</f>
        <v>2</v>
      </c>
      <c r="E7" s="16">
        <f>COUNTIFS(Riesgos!$D$2:$D$151,B7,Riesgos!$K$2:$K$151,"Moderado")</f>
        <v>5</v>
      </c>
      <c r="F7" s="16">
        <f>COUNTIFS(Riesgos!$D$2:$D$151,B7,Riesgos!$K$2:$K$151,"Alto")</f>
        <v>3</v>
      </c>
      <c r="G7" s="16">
        <f>COUNTIFS(Riesgos!$D$2:$D$151,B7,Riesgos!$K$2:$K$151,"Crítico")</f>
        <v>0</v>
      </c>
      <c r="H7" s="16" t="str">
        <f t="shared" si="0"/>
        <v>Prioridad Alta</v>
      </c>
    </row>
    <row r="8" spans="1:8" ht="15" customHeight="1" x14ac:dyDescent="0.25">
      <c r="A8" s="16">
        <v>7</v>
      </c>
      <c r="B8" s="16" t="str">
        <f>Inventario_Activos!D8</f>
        <v>Ambiente de staging web</v>
      </c>
      <c r="C8" s="16">
        <f>Inventario_Activos!I8</f>
        <v>3</v>
      </c>
      <c r="D8" s="16">
        <f>COUNTIFS(Riesgos!$D$2:$D$151,B8,Riesgos!$K$2:$K$151,"Bajo")</f>
        <v>2</v>
      </c>
      <c r="E8" s="16">
        <f>COUNTIFS(Riesgos!$D$2:$D$151,B8,Riesgos!$K$2:$K$151,"Moderado")</f>
        <v>4</v>
      </c>
      <c r="F8" s="16">
        <f>COUNTIFS(Riesgos!$D$2:$D$151,B8,Riesgos!$K$2:$K$151,"Alto")</f>
        <v>4</v>
      </c>
      <c r="G8" s="16">
        <f>COUNTIFS(Riesgos!$D$2:$D$151,B8,Riesgos!$K$2:$K$151,"Crítico")</f>
        <v>0</v>
      </c>
      <c r="H8" s="16" t="str">
        <f t="shared" si="0"/>
        <v>Prioridad Alta</v>
      </c>
    </row>
    <row r="9" spans="1:8" ht="15" customHeight="1" x14ac:dyDescent="0.25">
      <c r="A9" s="16">
        <v>8</v>
      </c>
      <c r="B9" s="16" t="str">
        <f>Inventario_Activos!D9</f>
        <v>Datos de prueba anonimizados</v>
      </c>
      <c r="C9" s="16">
        <f>Inventario_Activos!I9</f>
        <v>3</v>
      </c>
      <c r="D9" s="16">
        <f>COUNTIFS(Riesgos!$D$2:$D$151,B9,Riesgos!$K$2:$K$151,"Bajo")</f>
        <v>2</v>
      </c>
      <c r="E9" s="16">
        <f>COUNTIFS(Riesgos!$D$2:$D$151,B9,Riesgos!$K$2:$K$151,"Moderado")</f>
        <v>6</v>
      </c>
      <c r="F9" s="16">
        <f>COUNTIFS(Riesgos!$D$2:$D$151,B9,Riesgos!$K$2:$K$151,"Alto")</f>
        <v>2</v>
      </c>
      <c r="G9" s="16">
        <f>COUNTIFS(Riesgos!$D$2:$D$151,B9,Riesgos!$K$2:$K$151,"Crítico")</f>
        <v>0</v>
      </c>
      <c r="H9" s="16" t="str">
        <f t="shared" si="0"/>
        <v>Prioridad Alta</v>
      </c>
    </row>
    <row r="10" spans="1:8" ht="15" customHeight="1" x14ac:dyDescent="0.25">
      <c r="A10" s="16">
        <v>9</v>
      </c>
      <c r="B10" s="16" t="str">
        <f>Inventario_Activos!D10</f>
        <v>QA Tester</v>
      </c>
      <c r="C10" s="16">
        <f>Inventario_Activos!I10</f>
        <v>3</v>
      </c>
      <c r="D10" s="16">
        <f>COUNTIFS(Riesgos!$D$2:$D$151,B10,Riesgos!$K$2:$K$151,"Bajo")</f>
        <v>0</v>
      </c>
      <c r="E10" s="16">
        <f>COUNTIFS(Riesgos!$D$2:$D$151,B10,Riesgos!$K$2:$K$151,"Moderado")</f>
        <v>10</v>
      </c>
      <c r="F10" s="16">
        <f>COUNTIFS(Riesgos!$D$2:$D$151,B10,Riesgos!$K$2:$K$151,"Alto")</f>
        <v>0</v>
      </c>
      <c r="G10" s="16">
        <f>COUNTIFS(Riesgos!$D$2:$D$151,B10,Riesgos!$K$2:$K$151,"Crítico")</f>
        <v>0</v>
      </c>
      <c r="H10" s="16" t="str">
        <f t="shared" si="0"/>
        <v>Prioridad Media</v>
      </c>
    </row>
    <row r="11" spans="1:8" ht="25.5" customHeight="1" x14ac:dyDescent="0.25">
      <c r="A11" s="16">
        <v>10</v>
      </c>
      <c r="B11" s="16" t="str">
        <f>Inventario_Activos!D11</f>
        <v>Herramienta de automatización de pruebas</v>
      </c>
      <c r="C11" s="16">
        <f>Inventario_Activos!I11</f>
        <v>3</v>
      </c>
      <c r="D11" s="16">
        <f>COUNTIFS(Riesgos!$D$2:$D$151,B11,Riesgos!$K$2:$K$151,"Bajo")</f>
        <v>1</v>
      </c>
      <c r="E11" s="16">
        <f>COUNTIFS(Riesgos!$D$2:$D$151,B11,Riesgos!$K$2:$K$151,"Moderado")</f>
        <v>6</v>
      </c>
      <c r="F11" s="16">
        <f>COUNTIFS(Riesgos!$D$2:$D$151,B11,Riesgos!$K$2:$K$151,"Alto")</f>
        <v>3</v>
      </c>
      <c r="G11" s="16">
        <f>COUNTIFS(Riesgos!$D$2:$D$151,B11,Riesgos!$K$2:$K$151,"Crítico")</f>
        <v>0</v>
      </c>
      <c r="H11" s="16" t="str">
        <f t="shared" si="0"/>
        <v>Prioridad Alta</v>
      </c>
    </row>
    <row r="12" spans="1:8" ht="25.5" customHeight="1" x14ac:dyDescent="0.25">
      <c r="A12" s="16">
        <v>11</v>
      </c>
      <c r="B12" s="16" t="str">
        <f>Inventario_Activos!D12</f>
        <v>Estación de trabajo del desarrollador</v>
      </c>
      <c r="C12" s="16">
        <f>Inventario_Activos!I12</f>
        <v>3</v>
      </c>
      <c r="D12" s="16">
        <f>COUNTIFS(Riesgos!$D$2:$D$151,B12,Riesgos!$K$2:$K$151,"Bajo")</f>
        <v>0</v>
      </c>
      <c r="E12" s="16">
        <f>COUNTIFS(Riesgos!$D$2:$D$151,B12,Riesgos!$K$2:$K$151,"Moderado")</f>
        <v>7</v>
      </c>
      <c r="F12" s="16">
        <f>COUNTIFS(Riesgos!$D$2:$D$151,B12,Riesgos!$K$2:$K$151,"Alto")</f>
        <v>3</v>
      </c>
      <c r="G12" s="16">
        <f>COUNTIFS(Riesgos!$D$2:$D$151,B12,Riesgos!$K$2:$K$151,"Crítico")</f>
        <v>0</v>
      </c>
      <c r="H12" s="16" t="str">
        <f t="shared" si="0"/>
        <v>Prioridad Alta</v>
      </c>
    </row>
    <row r="13" spans="1:8" ht="15" customHeight="1" x14ac:dyDescent="0.25">
      <c r="A13" s="16">
        <v>12</v>
      </c>
      <c r="B13" s="16" t="str">
        <f>Inventario_Activos!D13</f>
        <v>Repositorio de código (Git)</v>
      </c>
      <c r="C13" s="16">
        <f>Inventario_Activos!I13</f>
        <v>3</v>
      </c>
      <c r="D13" s="16">
        <f>COUNTIFS(Riesgos!$D$2:$D$151,B13,Riesgos!$K$2:$K$151,"Bajo")</f>
        <v>0</v>
      </c>
      <c r="E13" s="16">
        <f>COUNTIFS(Riesgos!$D$2:$D$151,B13,Riesgos!$K$2:$K$151,"Moderado")</f>
        <v>5</v>
      </c>
      <c r="F13" s="16">
        <f>COUNTIFS(Riesgos!$D$2:$D$151,B13,Riesgos!$K$2:$K$151,"Alto")</f>
        <v>5</v>
      </c>
      <c r="G13" s="16">
        <f>COUNTIFS(Riesgos!$D$2:$D$151,B13,Riesgos!$K$2:$K$151,"Crítico")</f>
        <v>0</v>
      </c>
      <c r="H13" s="16" t="str">
        <f t="shared" si="0"/>
        <v>Prioridad Alta</v>
      </c>
    </row>
    <row r="14" spans="1:8" ht="15" customHeight="1" x14ac:dyDescent="0.25">
      <c r="A14" s="16">
        <v>13</v>
      </c>
      <c r="B14" s="16" t="str">
        <f>Inventario_Activos!D14</f>
        <v>Código fuente y credenciales</v>
      </c>
      <c r="C14" s="16">
        <f>Inventario_Activos!I14</f>
        <v>3</v>
      </c>
      <c r="D14" s="16">
        <f>COUNTIFS(Riesgos!$D$2:$D$151,B14,Riesgos!$K$2:$K$151,"Bajo")</f>
        <v>0</v>
      </c>
      <c r="E14" s="16">
        <f>COUNTIFS(Riesgos!$D$2:$D$151,B14,Riesgos!$K$2:$K$151,"Moderado")</f>
        <v>3</v>
      </c>
      <c r="F14" s="16">
        <f>COUNTIFS(Riesgos!$D$2:$D$151,B14,Riesgos!$K$2:$K$151,"Alto")</f>
        <v>7</v>
      </c>
      <c r="G14" s="16">
        <f>COUNTIFS(Riesgos!$D$2:$D$151,B14,Riesgos!$K$2:$K$151,"Crítico")</f>
        <v>0</v>
      </c>
      <c r="H14" s="16" t="str">
        <f t="shared" si="0"/>
        <v>Prioridad Alta</v>
      </c>
    </row>
    <row r="15" spans="1:8" ht="15" customHeight="1" x14ac:dyDescent="0.25">
      <c r="A15" s="16">
        <v>14</v>
      </c>
      <c r="B15" s="16" t="str">
        <f>Inventario_Activos!D15</f>
        <v>Desarrollador</v>
      </c>
      <c r="C15" s="16">
        <f>Inventario_Activos!I15</f>
        <v>3</v>
      </c>
      <c r="D15" s="16">
        <f>COUNTIFS(Riesgos!$D$2:$D$151,B15,Riesgos!$K$2:$K$151,"Bajo")</f>
        <v>0</v>
      </c>
      <c r="E15" s="16">
        <f>COUNTIFS(Riesgos!$D$2:$D$151,B15,Riesgos!$K$2:$K$151,"Moderado")</f>
        <v>1</v>
      </c>
      <c r="F15" s="16">
        <f>COUNTIFS(Riesgos!$D$2:$D$151,B15,Riesgos!$K$2:$K$151,"Alto")</f>
        <v>9</v>
      </c>
      <c r="G15" s="16">
        <f>COUNTIFS(Riesgos!$D$2:$D$151,B15,Riesgos!$K$2:$K$151,"Crítico")</f>
        <v>0</v>
      </c>
      <c r="H15" s="16" t="str">
        <f t="shared" si="0"/>
        <v>Prioridad Alta</v>
      </c>
    </row>
    <row r="16" spans="1:8" ht="15" customHeight="1" x14ac:dyDescent="0.25">
      <c r="A16" s="16">
        <v>15</v>
      </c>
      <c r="B16" s="16" t="str">
        <f>Inventario_Activos!D16</f>
        <v>Entorno IDE / CI-CD</v>
      </c>
      <c r="C16" s="16">
        <f>Inventario_Activos!I16</f>
        <v>3</v>
      </c>
      <c r="D16" s="16">
        <f>COUNTIFS(Riesgos!$D$2:$D$151,B16,Riesgos!$K$2:$K$151,"Bajo")</f>
        <v>0</v>
      </c>
      <c r="E16" s="16">
        <f>COUNTIFS(Riesgos!$D$2:$D$151,B16,Riesgos!$K$2:$K$151,"Moderado")</f>
        <v>3</v>
      </c>
      <c r="F16" s="16">
        <f>COUNTIFS(Riesgos!$D$2:$D$151,B16,Riesgos!$K$2:$K$151,"Alto")</f>
        <v>7</v>
      </c>
      <c r="G16" s="16">
        <f>COUNTIFS(Riesgos!$D$2:$D$151,B16,Riesgos!$K$2:$K$151,"Crítico")</f>
        <v>0</v>
      </c>
      <c r="H16" s="16" t="str">
        <f t="shared" si="0"/>
        <v>Prioridad Alta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zoomScale="90" zoomScaleNormal="90" workbookViewId="0">
      <selection activeCell="E1" sqref="E1:G6"/>
    </sheetView>
  </sheetViews>
  <sheetFormatPr baseColWidth="10" defaultColWidth="8.7109375" defaultRowHeight="15" x14ac:dyDescent="0.25"/>
  <cols>
    <col min="1" max="1" width="4" customWidth="1"/>
    <col min="2" max="2" width="24" customWidth="1"/>
    <col min="3" max="3" width="14" customWidth="1"/>
    <col min="4" max="4" width="4" customWidth="1"/>
    <col min="5" max="5" width="22" customWidth="1"/>
    <col min="6" max="6" width="12" customWidth="1"/>
    <col min="8" max="8" width="20" customWidth="1"/>
    <col min="9" max="9" width="12" customWidth="1"/>
  </cols>
  <sheetData>
    <row r="1" spans="1:7" ht="15" customHeight="1" x14ac:dyDescent="0.25">
      <c r="A1" s="3" t="s">
        <v>547</v>
      </c>
      <c r="B1" s="3"/>
      <c r="C1" s="3"/>
      <c r="E1" s="3" t="s">
        <v>548</v>
      </c>
      <c r="F1" s="3"/>
      <c r="G1" s="3"/>
    </row>
    <row r="2" spans="1:7" ht="30" customHeight="1" x14ac:dyDescent="0.25">
      <c r="A2" s="23" t="s">
        <v>549</v>
      </c>
      <c r="B2" s="23" t="s">
        <v>550</v>
      </c>
      <c r="E2" s="23" t="s">
        <v>551</v>
      </c>
      <c r="F2" s="23" t="s">
        <v>536</v>
      </c>
      <c r="G2" s="23" t="s">
        <v>552</v>
      </c>
    </row>
    <row r="3" spans="1:7" ht="15" customHeight="1" x14ac:dyDescent="0.25">
      <c r="A3" s="25">
        <v>1</v>
      </c>
      <c r="B3" s="25" t="s">
        <v>553</v>
      </c>
      <c r="E3" s="25">
        <v>1</v>
      </c>
      <c r="F3" s="24" t="s">
        <v>538</v>
      </c>
      <c r="G3" s="25" t="s">
        <v>554</v>
      </c>
    </row>
    <row r="4" spans="1:7" ht="15" customHeight="1" x14ac:dyDescent="0.25">
      <c r="A4" s="25">
        <v>2</v>
      </c>
      <c r="B4" s="25" t="s">
        <v>555</v>
      </c>
      <c r="E4" s="25">
        <v>6</v>
      </c>
      <c r="F4" s="26" t="s">
        <v>539</v>
      </c>
      <c r="G4" s="25" t="s">
        <v>556</v>
      </c>
    </row>
    <row r="5" spans="1:7" ht="15" customHeight="1" x14ac:dyDescent="0.25">
      <c r="A5" s="25">
        <v>3</v>
      </c>
      <c r="B5" s="25" t="s">
        <v>557</v>
      </c>
      <c r="E5" s="25">
        <v>11</v>
      </c>
      <c r="F5" s="27" t="s">
        <v>540</v>
      </c>
      <c r="G5" s="25" t="s">
        <v>558</v>
      </c>
    </row>
    <row r="6" spans="1:7" ht="15" customHeight="1" x14ac:dyDescent="0.25">
      <c r="A6" s="25">
        <v>4</v>
      </c>
      <c r="B6" s="25" t="s">
        <v>559</v>
      </c>
      <c r="E6" s="25">
        <v>16</v>
      </c>
      <c r="F6" s="28" t="s">
        <v>541</v>
      </c>
      <c r="G6" s="25" t="s">
        <v>560</v>
      </c>
    </row>
    <row r="7" spans="1:7" ht="15" customHeight="1" x14ac:dyDescent="0.25">
      <c r="A7" s="25">
        <v>5</v>
      </c>
      <c r="B7" s="25" t="s">
        <v>561</v>
      </c>
    </row>
    <row r="9" spans="1:7" ht="15" customHeight="1" x14ac:dyDescent="0.25">
      <c r="A9" s="3" t="s">
        <v>562</v>
      </c>
      <c r="B9" s="3"/>
      <c r="C9" s="3"/>
      <c r="E9" s="3" t="s">
        <v>563</v>
      </c>
      <c r="F9" s="3"/>
    </row>
    <row r="10" spans="1:7" ht="90" customHeight="1" x14ac:dyDescent="0.25">
      <c r="A10" s="23" t="s">
        <v>551</v>
      </c>
      <c r="B10" s="23" t="s">
        <v>564</v>
      </c>
      <c r="E10" s="25" t="s">
        <v>565</v>
      </c>
    </row>
    <row r="11" spans="1:7" ht="15" customHeight="1" x14ac:dyDescent="0.25">
      <c r="A11" s="25">
        <v>1</v>
      </c>
      <c r="B11" s="25" t="s">
        <v>555</v>
      </c>
      <c r="E11" s="25" t="s">
        <v>74</v>
      </c>
    </row>
    <row r="12" spans="1:7" ht="15" customHeight="1" x14ac:dyDescent="0.25">
      <c r="A12" s="25">
        <v>2</v>
      </c>
      <c r="B12" s="25" t="s">
        <v>557</v>
      </c>
      <c r="E12" s="25" t="s">
        <v>566</v>
      </c>
    </row>
    <row r="13" spans="1:7" ht="15" customHeight="1" x14ac:dyDescent="0.25">
      <c r="A13" s="25">
        <v>4</v>
      </c>
      <c r="B13" s="25" t="s">
        <v>559</v>
      </c>
      <c r="E13" s="25" t="s">
        <v>234</v>
      </c>
    </row>
    <row r="14" spans="1:7" ht="15" customHeight="1" x14ac:dyDescent="0.25">
      <c r="A14" s="25">
        <v>5</v>
      </c>
      <c r="B14" s="25" t="s">
        <v>561</v>
      </c>
    </row>
  </sheetData>
  <mergeCells count="4">
    <mergeCell ref="A1:C1"/>
    <mergeCell ref="E1:G1"/>
    <mergeCell ref="A9:C9"/>
    <mergeCell ref="E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5"/>
  <sheetViews>
    <sheetView showGridLines="0" tabSelected="1" zoomScaleNormal="100" workbookViewId="0">
      <selection activeCell="F28" sqref="F28"/>
    </sheetView>
  </sheetViews>
  <sheetFormatPr baseColWidth="10" defaultColWidth="8.7109375" defaultRowHeight="15" x14ac:dyDescent="0.25"/>
  <cols>
    <col min="2" max="2" width="7" customWidth="1"/>
    <col min="3" max="3" width="11" customWidth="1"/>
    <col min="4" max="4" width="41.85546875" bestFit="1" customWidth="1"/>
    <col min="5" max="5" width="27.42578125" bestFit="1" customWidth="1"/>
    <col min="6" max="6" width="57.7109375" bestFit="1" customWidth="1"/>
    <col min="7" max="7" width="7" customWidth="1"/>
    <col min="8" max="8" width="8" customWidth="1"/>
    <col min="9" max="9" width="9" customWidth="1"/>
    <col min="10" max="10" width="10" customWidth="1"/>
    <col min="11" max="11" width="9" customWidth="1"/>
    <col min="12" max="12" width="10" customWidth="1"/>
    <col min="13" max="13" width="16" customWidth="1"/>
  </cols>
  <sheetData>
    <row r="2" spans="2:13" ht="17.25" customHeight="1" x14ac:dyDescent="0.25">
      <c r="B2" s="2" t="s">
        <v>567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3" ht="15" customHeight="1" x14ac:dyDescent="0.25">
      <c r="B3" s="1" t="s">
        <v>568</v>
      </c>
      <c r="C3" s="1"/>
      <c r="D3" s="1"/>
      <c r="E3" s="1"/>
      <c r="F3" s="1"/>
      <c r="G3" s="1"/>
      <c r="H3" s="1"/>
      <c r="I3" s="1"/>
      <c r="J3" s="1"/>
      <c r="K3" s="1"/>
      <c r="L3" s="1"/>
    </row>
    <row r="5" spans="2:13" ht="25.5" customHeight="1" x14ac:dyDescent="0.25">
      <c r="B5" s="29" t="s">
        <v>569</v>
      </c>
      <c r="C5" s="29" t="s">
        <v>21</v>
      </c>
      <c r="D5" s="29" t="s">
        <v>58</v>
      </c>
      <c r="E5" s="29" t="s">
        <v>570</v>
      </c>
      <c r="F5" s="29" t="s">
        <v>61</v>
      </c>
      <c r="G5" s="29" t="s">
        <v>571</v>
      </c>
      <c r="H5" s="29" t="s">
        <v>572</v>
      </c>
      <c r="I5" s="29" t="s">
        <v>64</v>
      </c>
      <c r="J5" s="29" t="s">
        <v>65</v>
      </c>
      <c r="K5" s="29" t="s">
        <v>67</v>
      </c>
      <c r="L5" s="29" t="s">
        <v>68</v>
      </c>
      <c r="M5" s="29" t="s">
        <v>13</v>
      </c>
    </row>
    <row r="6" spans="2:13" ht="25.5" customHeight="1" x14ac:dyDescent="0.25">
      <c r="B6" s="30">
        <v>1</v>
      </c>
      <c r="C6" s="31" t="str">
        <f>INDEX(Riesgos!$B$2:$B$151,MATCH(LARGE(Riesgos!$Q$2:$Q$151,1),Riesgos!$Q$2:$Q$151,0))</f>
        <v>Desarrollo</v>
      </c>
      <c r="D6" s="31" t="str">
        <f>INDEX(Riesgos!$D$2:$D$151,MATCH(LARGE(Riesgos!$Q$2:$Q$151,1),Riesgos!$Q$2:$Q$151,0))</f>
        <v>Código fuente y credenciales</v>
      </c>
      <c r="E6" s="31" t="str">
        <f>INDEX(Riesgos!$E$2:$E$151,MATCH(LARGE(Riesgos!$Q$2:$Q$151,1),Riesgos!$Q$2:$Q$151,0))</f>
        <v>Seguridad de Aplicación</v>
      </c>
      <c r="F6" s="31" t="str">
        <f>INDEX(Riesgos!$G$2:$G$151,MATCH(LARGE(Riesgos!$Q$2:$Q$151,1),Riesgos!$Q$2:$Q$151,0))</f>
        <v>Exposición de credenciales al compartir o publicar el código</v>
      </c>
      <c r="G6" s="30">
        <f>INDEX(Riesgos!$H$2:$H$151,MATCH(LARGE(Riesgos!$Q$2:$Q$151,1),Riesgos!$Q$2:$Q$151,0))</f>
        <v>4</v>
      </c>
      <c r="H6" s="30">
        <f>INDEX(Riesgos!$I$2:$I$151,MATCH(LARGE(Riesgos!$Q$2:$Q$151,1),Riesgos!$Q$2:$Q$151,0))</f>
        <v>5</v>
      </c>
      <c r="I6" s="30">
        <f>INDEX(Riesgos!$J$2:$J$151,MATCH(LARGE(Riesgos!$Q$2:$Q$151,1),Riesgos!$Q$2:$Q$151,0))</f>
        <v>20</v>
      </c>
      <c r="J6" s="31" t="str">
        <f>INDEX(Riesgos!$K$2:$K$151,MATCH(LARGE(Riesgos!$Q$2:$Q$151,1),Riesgos!$Q$2:$Q$151,0))</f>
        <v>Alto</v>
      </c>
      <c r="K6" s="30">
        <f>INDEX(Riesgos!$M$2:$M$151,MATCH(LARGE(Riesgos!$Q$2:$Q$151,1),Riesgos!$Q$2:$Q$151,0))</f>
        <v>12</v>
      </c>
      <c r="L6" s="31" t="str">
        <f>INDEX(Riesgos!$N$2:$N$151,MATCH(LARGE(Riesgos!$Q$2:$Q$151,1),Riesgos!$Q$2:$Q$151,0))</f>
        <v>Alto</v>
      </c>
      <c r="M6" s="31" t="str">
        <f>INDEX(Riesgos!$O$2:$O$151,MATCH(LARGE(Riesgos!$Q$2:$Q$151,1),Riesgos!$Q$2:$Q$151,0))</f>
        <v>Reducir/Mitigar</v>
      </c>
    </row>
    <row r="7" spans="2:13" ht="25.5" customHeight="1" x14ac:dyDescent="0.25">
      <c r="B7" s="30">
        <v>2</v>
      </c>
      <c r="C7" s="31" t="str">
        <f>INDEX(Riesgos!$B$2:$B$151,MATCH(LARGE(Riesgos!$Q$2:$Q$151,2),Riesgos!$Q$2:$Q$151,0))</f>
        <v>Producción</v>
      </c>
      <c r="D7" s="31" t="str">
        <f>INDEX(Riesgos!$D$2:$D$151,MATCH(LARGE(Riesgos!$Q$2:$Q$151,2),Riesgos!$Q$2:$Q$151,0))</f>
        <v>Servidor de Base de Datos</v>
      </c>
      <c r="E7" s="31" t="str">
        <f>INDEX(Riesgos!$E$2:$E$151,MATCH(LARGE(Riesgos!$Q$2:$Q$151,2),Riesgos!$Q$2:$Q$151,0))</f>
        <v>Seguridad de Host</v>
      </c>
      <c r="F7" s="31" t="str">
        <f>INDEX(Riesgos!$G$2:$G$151,MATCH(LARGE(Riesgos!$Q$2:$Q$151,2),Riesgos!$Q$2:$Q$151,0))</f>
        <v>Explotación de vulnerabilidades conocidas</v>
      </c>
      <c r="G7" s="30">
        <f>INDEX(Riesgos!$H$2:$H$151,MATCH(LARGE(Riesgos!$Q$2:$Q$151,2),Riesgos!$Q$2:$Q$151,0))</f>
        <v>4</v>
      </c>
      <c r="H7" s="30">
        <f>INDEX(Riesgos!$I$2:$I$151,MATCH(LARGE(Riesgos!$Q$2:$Q$151,2),Riesgos!$Q$2:$Q$151,0))</f>
        <v>4</v>
      </c>
      <c r="I7" s="30">
        <f>INDEX(Riesgos!$J$2:$J$151,MATCH(LARGE(Riesgos!$Q$2:$Q$151,2),Riesgos!$Q$2:$Q$151,0))</f>
        <v>16</v>
      </c>
      <c r="J7" s="31" t="str">
        <f>INDEX(Riesgos!$K$2:$K$151,MATCH(LARGE(Riesgos!$Q$2:$Q$151,2),Riesgos!$Q$2:$Q$151,0))</f>
        <v>Alto</v>
      </c>
      <c r="K7" s="30">
        <f>INDEX(Riesgos!$M$2:$M$151,MATCH(LARGE(Riesgos!$Q$2:$Q$151,2),Riesgos!$Q$2:$Q$151,0))</f>
        <v>16</v>
      </c>
      <c r="L7" s="31" t="str">
        <f>INDEX(Riesgos!$N$2:$N$151,MATCH(LARGE(Riesgos!$Q$2:$Q$151,2),Riesgos!$Q$2:$Q$151,0))</f>
        <v>Alto</v>
      </c>
      <c r="M7" s="31" t="str">
        <f>INDEX(Riesgos!$O$2:$O$151,MATCH(LARGE(Riesgos!$Q$2:$Q$151,2),Riesgos!$Q$2:$Q$151,0))</f>
        <v>Reducir/Mitigar</v>
      </c>
    </row>
    <row r="8" spans="2:13" ht="25.5" customHeight="1" x14ac:dyDescent="0.25">
      <c r="B8" s="30">
        <v>3</v>
      </c>
      <c r="C8" s="31" t="str">
        <f>INDEX(Riesgos!$B$2:$B$151,MATCH(LARGE(Riesgos!$Q$2:$Q$151,3),Riesgos!$Q$2:$Q$151,0))</f>
        <v>Producción</v>
      </c>
      <c r="D8" s="31" t="str">
        <f>INDEX(Riesgos!$D$2:$D$151,MATCH(LARGE(Riesgos!$Q$2:$Q$151,3),Riesgos!$Q$2:$Q$151,0))</f>
        <v>Servidor de Base de Datos</v>
      </c>
      <c r="E8" s="31" t="str">
        <f>INDEX(Riesgos!$E$2:$E$151,MATCH(LARGE(Riesgos!$Q$2:$Q$151,3),Riesgos!$Q$2:$Q$151,0))</f>
        <v>Concientización y Procesos</v>
      </c>
      <c r="F8" s="31" t="str">
        <f>INDEX(Riesgos!$G$2:$G$151,MATCH(LARGE(Riesgos!$Q$2:$Q$151,3),Riesgos!$Q$2:$Q$151,0))</f>
        <v>Explotación de vulnerabilidades no corregidas</v>
      </c>
      <c r="G8" s="30">
        <f>INDEX(Riesgos!$H$2:$H$151,MATCH(LARGE(Riesgos!$Q$2:$Q$151,3),Riesgos!$Q$2:$Q$151,0))</f>
        <v>4</v>
      </c>
      <c r="H8" s="30">
        <f>INDEX(Riesgos!$I$2:$I$151,MATCH(LARGE(Riesgos!$Q$2:$Q$151,3),Riesgos!$Q$2:$Q$151,0))</f>
        <v>4</v>
      </c>
      <c r="I8" s="30">
        <f>INDEX(Riesgos!$J$2:$J$151,MATCH(LARGE(Riesgos!$Q$2:$Q$151,3),Riesgos!$Q$2:$Q$151,0))</f>
        <v>16</v>
      </c>
      <c r="J8" s="31" t="str">
        <f>INDEX(Riesgos!$K$2:$K$151,MATCH(LARGE(Riesgos!$Q$2:$Q$151,3),Riesgos!$Q$2:$Q$151,0))</f>
        <v>Alto</v>
      </c>
      <c r="K8" s="30">
        <f>INDEX(Riesgos!$M$2:$M$151,MATCH(LARGE(Riesgos!$Q$2:$Q$151,3),Riesgos!$Q$2:$Q$151,0))</f>
        <v>16</v>
      </c>
      <c r="L8" s="31" t="str">
        <f>INDEX(Riesgos!$N$2:$N$151,MATCH(LARGE(Riesgos!$Q$2:$Q$151,3),Riesgos!$Q$2:$Q$151,0))</f>
        <v>Alto</v>
      </c>
      <c r="M8" s="31" t="str">
        <f>INDEX(Riesgos!$O$2:$O$151,MATCH(LARGE(Riesgos!$Q$2:$Q$151,3),Riesgos!$Q$2:$Q$151,0))</f>
        <v>Reducir/Mitigar</v>
      </c>
    </row>
    <row r="9" spans="2:13" ht="25.5" customHeight="1" x14ac:dyDescent="0.25">
      <c r="B9" s="30">
        <v>4</v>
      </c>
      <c r="C9" s="31" t="str">
        <f>INDEX(Riesgos!$B$2:$B$151,MATCH(LARGE(Riesgos!$Q$2:$Q$151,4),Riesgos!$Q$2:$Q$151,0))</f>
        <v>Pruebas</v>
      </c>
      <c r="D9" s="31" t="str">
        <f>INDEX(Riesgos!$D$2:$D$151,MATCH(LARGE(Riesgos!$Q$2:$Q$151,4),Riesgos!$Q$2:$Q$151,0))</f>
        <v>Servidor de pruebas</v>
      </c>
      <c r="E9" s="31" t="str">
        <f>INDEX(Riesgos!$E$2:$E$151,MATCH(LARGE(Riesgos!$Q$2:$Q$151,4),Riesgos!$Q$2:$Q$151,0))</f>
        <v>Seguridad Perimetral</v>
      </c>
      <c r="F9" s="31" t="str">
        <f>INDEX(Riesgos!$G$2:$G$151,MATCH(LARGE(Riesgos!$Q$2:$Q$151,4),Riesgos!$Q$2:$Q$151,0))</f>
        <v>Ataques de fuerza bruta desde internet</v>
      </c>
      <c r="G9" s="30">
        <f>INDEX(Riesgos!$H$2:$H$151,MATCH(LARGE(Riesgos!$Q$2:$Q$151,4),Riesgos!$Q$2:$Q$151,0))</f>
        <v>4</v>
      </c>
      <c r="H9" s="30">
        <f>INDEX(Riesgos!$I$2:$I$151,MATCH(LARGE(Riesgos!$Q$2:$Q$151,4),Riesgos!$Q$2:$Q$151,0))</f>
        <v>4</v>
      </c>
      <c r="I9" s="30">
        <f>INDEX(Riesgos!$J$2:$J$151,MATCH(LARGE(Riesgos!$Q$2:$Q$151,4),Riesgos!$Q$2:$Q$151,0))</f>
        <v>16</v>
      </c>
      <c r="J9" s="31" t="str">
        <f>INDEX(Riesgos!$K$2:$K$151,MATCH(LARGE(Riesgos!$Q$2:$Q$151,4),Riesgos!$Q$2:$Q$151,0))</f>
        <v>Alto</v>
      </c>
      <c r="K9" s="30">
        <f>INDEX(Riesgos!$M$2:$M$151,MATCH(LARGE(Riesgos!$Q$2:$Q$151,4),Riesgos!$Q$2:$Q$151,0))</f>
        <v>10</v>
      </c>
      <c r="L9" s="31" t="str">
        <f>INDEX(Riesgos!$N$2:$N$151,MATCH(LARGE(Riesgos!$Q$2:$Q$151,4),Riesgos!$Q$2:$Q$151,0))</f>
        <v>Moderado</v>
      </c>
      <c r="M9" s="31" t="str">
        <f>INDEX(Riesgos!$O$2:$O$151,MATCH(LARGE(Riesgos!$Q$2:$Q$151,4),Riesgos!$Q$2:$Q$151,0))</f>
        <v>Reducir/Mitigar</v>
      </c>
    </row>
    <row r="10" spans="2:13" ht="25.5" customHeight="1" x14ac:dyDescent="0.25">
      <c r="B10" s="30">
        <v>5</v>
      </c>
      <c r="C10" s="31" t="str">
        <f>INDEX(Riesgos!$B$2:$B$151,MATCH(LARGE(Riesgos!$Q$2:$Q$151,5),Riesgos!$Q$2:$Q$151,0))</f>
        <v>Pruebas</v>
      </c>
      <c r="D10" s="31" t="str">
        <f>INDEX(Riesgos!$D$2:$D$151,MATCH(LARGE(Riesgos!$Q$2:$Q$151,5),Riesgos!$Q$2:$Q$151,0))</f>
        <v>Herramienta de automatización de pruebas</v>
      </c>
      <c r="E10" s="31" t="str">
        <f>INDEX(Riesgos!$E$2:$E$151,MATCH(LARGE(Riesgos!$Q$2:$Q$151,5),Riesgos!$Q$2:$Q$151,0))</f>
        <v>Seguridad de Aplicación</v>
      </c>
      <c r="F10" s="31" t="str">
        <f>INDEX(Riesgos!$G$2:$G$151,MATCH(LARGE(Riesgos!$Q$2:$Q$151,5),Riesgos!$Q$2:$Q$151,0))</f>
        <v>Exposición de credenciales de otros sistemas</v>
      </c>
      <c r="G10" s="30">
        <f>INDEX(Riesgos!$H$2:$H$151,MATCH(LARGE(Riesgos!$Q$2:$Q$151,5),Riesgos!$Q$2:$Q$151,0))</f>
        <v>4</v>
      </c>
      <c r="H10" s="30">
        <f>INDEX(Riesgos!$I$2:$I$151,MATCH(LARGE(Riesgos!$Q$2:$Q$151,5),Riesgos!$Q$2:$Q$151,0))</f>
        <v>4</v>
      </c>
      <c r="I10" s="30">
        <f>INDEX(Riesgos!$J$2:$J$151,MATCH(LARGE(Riesgos!$Q$2:$Q$151,5),Riesgos!$Q$2:$Q$151,0))</f>
        <v>16</v>
      </c>
      <c r="J10" s="31" t="str">
        <f>INDEX(Riesgos!$K$2:$K$151,MATCH(LARGE(Riesgos!$Q$2:$Q$151,5),Riesgos!$Q$2:$Q$151,0))</f>
        <v>Alto</v>
      </c>
      <c r="K10" s="30">
        <f>INDEX(Riesgos!$M$2:$M$151,MATCH(LARGE(Riesgos!$Q$2:$Q$151,5),Riesgos!$Q$2:$Q$151,0))</f>
        <v>10</v>
      </c>
      <c r="L10" s="31" t="str">
        <f>INDEX(Riesgos!$N$2:$N$151,MATCH(LARGE(Riesgos!$Q$2:$Q$151,5),Riesgos!$Q$2:$Q$151,0))</f>
        <v>Moderado</v>
      </c>
      <c r="M10" s="31" t="str">
        <f>INDEX(Riesgos!$O$2:$O$151,MATCH(LARGE(Riesgos!$Q$2:$Q$151,5),Riesgos!$Q$2:$Q$151,0))</f>
        <v>Reducir/Mitigar</v>
      </c>
    </row>
    <row r="11" spans="2:13" ht="25.5" customHeight="1" x14ac:dyDescent="0.25">
      <c r="B11" s="30">
        <v>6</v>
      </c>
      <c r="C11" s="31" t="str">
        <f>INDEX(Riesgos!$B$2:$B$151,MATCH(LARGE(Riesgos!$Q$2:$Q$151,6),Riesgos!$Q$2:$Q$151,0))</f>
        <v>Desarrollo</v>
      </c>
      <c r="D11" s="31" t="str">
        <f>INDEX(Riesgos!$D$2:$D$151,MATCH(LARGE(Riesgos!$Q$2:$Q$151,6),Riesgos!$Q$2:$Q$151,0))</f>
        <v>Código fuente y credenciales</v>
      </c>
      <c r="E11" s="31" t="str">
        <f>INDEX(Riesgos!$E$2:$E$151,MATCH(LARGE(Riesgos!$Q$2:$Q$151,6),Riesgos!$Q$2:$Q$151,0))</f>
        <v>Seguridad de Host</v>
      </c>
      <c r="F11" s="31" t="str">
        <f>INDEX(Riesgos!$G$2:$G$151,MATCH(LARGE(Riesgos!$Q$2:$Q$151,6),Riesgos!$Q$2:$Q$151,0))</f>
        <v>Robo de credenciales desde archivos locales</v>
      </c>
      <c r="G11" s="30">
        <f>INDEX(Riesgos!$H$2:$H$151,MATCH(LARGE(Riesgos!$Q$2:$Q$151,6),Riesgos!$Q$2:$Q$151,0))</f>
        <v>4</v>
      </c>
      <c r="H11" s="30">
        <f>INDEX(Riesgos!$I$2:$I$151,MATCH(LARGE(Riesgos!$Q$2:$Q$151,6),Riesgos!$Q$2:$Q$151,0))</f>
        <v>4</v>
      </c>
      <c r="I11" s="30">
        <f>INDEX(Riesgos!$J$2:$J$151,MATCH(LARGE(Riesgos!$Q$2:$Q$151,6),Riesgos!$Q$2:$Q$151,0))</f>
        <v>16</v>
      </c>
      <c r="J11" s="31" t="str">
        <f>INDEX(Riesgos!$K$2:$K$151,MATCH(LARGE(Riesgos!$Q$2:$Q$151,6),Riesgos!$Q$2:$Q$151,0))</f>
        <v>Alto</v>
      </c>
      <c r="K11" s="30">
        <f>INDEX(Riesgos!$M$2:$M$151,MATCH(LARGE(Riesgos!$Q$2:$Q$151,6),Riesgos!$Q$2:$Q$151,0))</f>
        <v>10</v>
      </c>
      <c r="L11" s="31" t="str">
        <f>INDEX(Riesgos!$N$2:$N$151,MATCH(LARGE(Riesgos!$Q$2:$Q$151,6),Riesgos!$Q$2:$Q$151,0))</f>
        <v>Moderado</v>
      </c>
      <c r="M11" s="31" t="str">
        <f>INDEX(Riesgos!$O$2:$O$151,MATCH(LARGE(Riesgos!$Q$2:$Q$151,6),Riesgos!$Q$2:$Q$151,0))</f>
        <v>Reducir/Mitigar</v>
      </c>
    </row>
    <row r="12" spans="2:13" ht="25.5" customHeight="1" x14ac:dyDescent="0.25">
      <c r="B12" s="30">
        <v>7</v>
      </c>
      <c r="C12" s="31" t="str">
        <f>INDEX(Riesgos!$B$2:$B$151,MATCH(LARGE(Riesgos!$Q$2:$Q$151,7),Riesgos!$Q$2:$Q$151,0))</f>
        <v>Desarrollo</v>
      </c>
      <c r="D12" s="31" t="str">
        <f>INDEX(Riesgos!$D$2:$D$151,MATCH(LARGE(Riesgos!$Q$2:$Q$151,7),Riesgos!$Q$2:$Q$151,0))</f>
        <v>Desarrollador</v>
      </c>
      <c r="E12" s="31" t="str">
        <f>INDEX(Riesgos!$E$2:$E$151,MATCH(LARGE(Riesgos!$Q$2:$Q$151,7),Riesgos!$Q$2:$Q$151,0))</f>
        <v>Seguridad de Aplicación</v>
      </c>
      <c r="F12" s="31" t="str">
        <f>INDEX(Riesgos!$G$2:$G$151,MATCH(LARGE(Riesgos!$Q$2:$Q$151,7),Riesgos!$Q$2:$Q$151,0))</f>
        <v>Introducción de vulnerabilidades en el software desarrollado</v>
      </c>
      <c r="G12" s="30">
        <f>INDEX(Riesgos!$H$2:$H$151,MATCH(LARGE(Riesgos!$Q$2:$Q$151,7),Riesgos!$Q$2:$Q$151,0))</f>
        <v>4</v>
      </c>
      <c r="H12" s="30">
        <f>INDEX(Riesgos!$I$2:$I$151,MATCH(LARGE(Riesgos!$Q$2:$Q$151,7),Riesgos!$Q$2:$Q$151,0))</f>
        <v>4</v>
      </c>
      <c r="I12" s="30">
        <f>INDEX(Riesgos!$J$2:$J$151,MATCH(LARGE(Riesgos!$Q$2:$Q$151,7),Riesgos!$Q$2:$Q$151,0))</f>
        <v>16</v>
      </c>
      <c r="J12" s="31" t="str">
        <f>INDEX(Riesgos!$K$2:$K$151,MATCH(LARGE(Riesgos!$Q$2:$Q$151,7),Riesgos!$Q$2:$Q$151,0))</f>
        <v>Alto</v>
      </c>
      <c r="K12" s="30">
        <f>INDEX(Riesgos!$M$2:$M$151,MATCH(LARGE(Riesgos!$Q$2:$Q$151,7),Riesgos!$Q$2:$Q$151,0))</f>
        <v>10</v>
      </c>
      <c r="L12" s="31" t="str">
        <f>INDEX(Riesgos!$N$2:$N$151,MATCH(LARGE(Riesgos!$Q$2:$Q$151,7),Riesgos!$Q$2:$Q$151,0))</f>
        <v>Moderado</v>
      </c>
      <c r="M12" s="31" t="str">
        <f>INDEX(Riesgos!$O$2:$O$151,MATCH(LARGE(Riesgos!$Q$2:$Q$151,7),Riesgos!$Q$2:$Q$151,0))</f>
        <v>Reducir/Mitigar</v>
      </c>
    </row>
    <row r="13" spans="2:13" ht="25.5" customHeight="1" x14ac:dyDescent="0.25">
      <c r="B13" s="30">
        <v>8</v>
      </c>
      <c r="C13" s="31" t="str">
        <f>INDEX(Riesgos!$B$2:$B$151,MATCH(LARGE(Riesgos!$Q$2:$Q$151,8),Riesgos!$Q$2:$Q$151,0))</f>
        <v>Producción</v>
      </c>
      <c r="D13" s="31" t="str">
        <f>INDEX(Riesgos!$D$2:$D$151,MATCH(LARGE(Riesgos!$Q$2:$Q$151,8),Riesgos!$Q$2:$Q$151,0))</f>
        <v>Servidor de Base de Datos</v>
      </c>
      <c r="E13" s="31" t="str">
        <f>INDEX(Riesgos!$E$2:$E$151,MATCH(LARGE(Riesgos!$Q$2:$Q$151,8),Riesgos!$Q$2:$Q$151,0))</f>
        <v>Seguridad de Red</v>
      </c>
      <c r="F13" s="31" t="str">
        <f>INDEX(Riesgos!$G$2:$G$151,MATCH(LARGE(Riesgos!$Q$2:$Q$151,8),Riesgos!$Q$2:$Q$151,0))</f>
        <v>Acceso remoto no autorizado</v>
      </c>
      <c r="G13" s="30">
        <f>INDEX(Riesgos!$H$2:$H$151,MATCH(LARGE(Riesgos!$Q$2:$Q$151,8),Riesgos!$Q$2:$Q$151,0))</f>
        <v>3</v>
      </c>
      <c r="H13" s="30">
        <f>INDEX(Riesgos!$I$2:$I$151,MATCH(LARGE(Riesgos!$Q$2:$Q$151,8),Riesgos!$Q$2:$Q$151,0))</f>
        <v>5</v>
      </c>
      <c r="I13" s="30">
        <f>INDEX(Riesgos!$J$2:$J$151,MATCH(LARGE(Riesgos!$Q$2:$Q$151,8),Riesgos!$Q$2:$Q$151,0))</f>
        <v>15</v>
      </c>
      <c r="J13" s="31" t="str">
        <f>INDEX(Riesgos!$K$2:$K$151,MATCH(LARGE(Riesgos!$Q$2:$Q$151,8),Riesgos!$Q$2:$Q$151,0))</f>
        <v>Alto</v>
      </c>
      <c r="K13" s="30">
        <f>INDEX(Riesgos!$M$2:$M$151,MATCH(LARGE(Riesgos!$Q$2:$Q$151,8),Riesgos!$Q$2:$Q$151,0))</f>
        <v>15</v>
      </c>
      <c r="L13" s="31" t="str">
        <f>INDEX(Riesgos!$N$2:$N$151,MATCH(LARGE(Riesgos!$Q$2:$Q$151,8),Riesgos!$Q$2:$Q$151,0))</f>
        <v>Alto</v>
      </c>
      <c r="M13" s="31" t="str">
        <f>INDEX(Riesgos!$O$2:$O$151,MATCH(LARGE(Riesgos!$Q$2:$Q$151,8),Riesgos!$Q$2:$Q$151,0))</f>
        <v>Reducir/Mitigar</v>
      </c>
    </row>
    <row r="14" spans="2:13" ht="25.5" customHeight="1" x14ac:dyDescent="0.25">
      <c r="B14" s="30">
        <v>9</v>
      </c>
      <c r="C14" s="31" t="str">
        <f>INDEX(Riesgos!$B$2:$B$151,MATCH(LARGE(Riesgos!$Q$2:$Q$151,9),Riesgos!$Q$2:$Q$151,0))</f>
        <v>Producción</v>
      </c>
      <c r="D14" s="31" t="str">
        <f>INDEX(Riesgos!$D$2:$D$151,MATCH(LARGE(Riesgos!$Q$2:$Q$151,9),Riesgos!$Q$2:$Q$151,0))</f>
        <v>Servidor de Base de Datos</v>
      </c>
      <c r="E14" s="31" t="str">
        <f>INDEX(Riesgos!$E$2:$E$151,MATCH(LARGE(Riesgos!$Q$2:$Q$151,9),Riesgos!$Q$2:$Q$151,0))</f>
        <v>Seguridad de Aplicación</v>
      </c>
      <c r="F14" s="31" t="str">
        <f>INDEX(Riesgos!$G$2:$G$151,MATCH(LARGE(Riesgos!$Q$2:$Q$151,9),Riesgos!$Q$2:$Q$151,0))</f>
        <v>Inyección SQL / escalamiento de privilegios</v>
      </c>
      <c r="G14" s="30">
        <f>INDEX(Riesgos!$H$2:$H$151,MATCH(LARGE(Riesgos!$Q$2:$Q$151,9),Riesgos!$Q$2:$Q$151,0))</f>
        <v>3</v>
      </c>
      <c r="H14" s="30">
        <f>INDEX(Riesgos!$I$2:$I$151,MATCH(LARGE(Riesgos!$Q$2:$Q$151,9),Riesgos!$Q$2:$Q$151,0))</f>
        <v>5</v>
      </c>
      <c r="I14" s="30">
        <f>INDEX(Riesgos!$J$2:$J$151,MATCH(LARGE(Riesgos!$Q$2:$Q$151,9),Riesgos!$Q$2:$Q$151,0))</f>
        <v>15</v>
      </c>
      <c r="J14" s="31" t="str">
        <f>INDEX(Riesgos!$K$2:$K$151,MATCH(LARGE(Riesgos!$Q$2:$Q$151,9),Riesgos!$Q$2:$Q$151,0))</f>
        <v>Alto</v>
      </c>
      <c r="K14" s="30">
        <f>INDEX(Riesgos!$M$2:$M$151,MATCH(LARGE(Riesgos!$Q$2:$Q$151,9),Riesgos!$Q$2:$Q$151,0))</f>
        <v>15</v>
      </c>
      <c r="L14" s="31" t="str">
        <f>INDEX(Riesgos!$N$2:$N$151,MATCH(LARGE(Riesgos!$Q$2:$Q$151,9),Riesgos!$Q$2:$Q$151,0))</f>
        <v>Alto</v>
      </c>
      <c r="M14" s="31" t="str">
        <f>INDEX(Riesgos!$O$2:$O$151,MATCH(LARGE(Riesgos!$Q$2:$Q$151,9),Riesgos!$Q$2:$Q$151,0))</f>
        <v>Reducir/Mitigar</v>
      </c>
    </row>
    <row r="15" spans="2:13" ht="25.5" customHeight="1" x14ac:dyDescent="0.25">
      <c r="B15" s="30">
        <v>10</v>
      </c>
      <c r="C15" s="31" t="str">
        <f>INDEX(Riesgos!$B$2:$B$151,MATCH(LARGE(Riesgos!$Q$2:$Q$151,10),Riesgos!$Q$2:$Q$151,0))</f>
        <v>Producción</v>
      </c>
      <c r="D15" s="31" t="str">
        <f>INDEX(Riesgos!$D$2:$D$151,MATCH(LARGE(Riesgos!$Q$2:$Q$151,10),Riesgos!$Q$2:$Q$151,0))</f>
        <v>Servidor de Base de Datos</v>
      </c>
      <c r="E15" s="31" t="str">
        <f>INDEX(Riesgos!$E$2:$E$151,MATCH(LARGE(Riesgos!$Q$2:$Q$151,10),Riesgos!$Q$2:$Q$151,0))</f>
        <v>Seguridad de Datos</v>
      </c>
      <c r="F15" s="31" t="str">
        <f>INDEX(Riesgos!$G$2:$G$151,MATCH(LARGE(Riesgos!$Q$2:$Q$151,10),Riesgos!$Q$2:$Q$151,0))</f>
        <v>Fuga de información confidencial</v>
      </c>
      <c r="G15" s="30">
        <f>INDEX(Riesgos!$H$2:$H$151,MATCH(LARGE(Riesgos!$Q$2:$Q$151,10),Riesgos!$Q$2:$Q$151,0))</f>
        <v>3</v>
      </c>
      <c r="H15" s="30">
        <f>INDEX(Riesgos!$I$2:$I$151,MATCH(LARGE(Riesgos!$Q$2:$Q$151,10),Riesgos!$Q$2:$Q$151,0))</f>
        <v>5</v>
      </c>
      <c r="I15" s="30">
        <f>INDEX(Riesgos!$J$2:$J$151,MATCH(LARGE(Riesgos!$Q$2:$Q$151,10),Riesgos!$Q$2:$Q$151,0))</f>
        <v>15</v>
      </c>
      <c r="J15" s="31" t="str">
        <f>INDEX(Riesgos!$K$2:$K$151,MATCH(LARGE(Riesgos!$Q$2:$Q$151,10),Riesgos!$Q$2:$Q$151,0))</f>
        <v>Alto</v>
      </c>
      <c r="K15" s="30">
        <f>INDEX(Riesgos!$M$2:$M$151,MATCH(LARGE(Riesgos!$Q$2:$Q$151,10),Riesgos!$Q$2:$Q$151,0))</f>
        <v>15</v>
      </c>
      <c r="L15" s="31" t="str">
        <f>INDEX(Riesgos!$N$2:$N$151,MATCH(LARGE(Riesgos!$Q$2:$Q$151,10),Riesgos!$Q$2:$Q$151,0))</f>
        <v>Alto</v>
      </c>
      <c r="M15" s="31" t="str">
        <f>INDEX(Riesgos!$O$2:$O$151,MATCH(LARGE(Riesgos!$Q$2:$Q$151,10),Riesgos!$Q$2:$Q$151,0))</f>
        <v>Reducir/Mitigar</v>
      </c>
    </row>
  </sheetData>
  <mergeCells count="2">
    <mergeCell ref="B2:L2"/>
    <mergeCell ref="B3:L3"/>
  </mergeCells>
  <conditionalFormatting sqref="J6:J15">
    <cfRule type="cellIs" dxfId="3" priority="2" operator="equal">
      <formula>"Crítico"</formula>
    </cfRule>
    <cfRule type="cellIs" dxfId="2" priority="3" operator="equal">
      <formula>"Alto"</formula>
    </cfRule>
    <cfRule type="cellIs" dxfId="1" priority="4" operator="equal">
      <formula>"Moderado"</formula>
    </cfRule>
    <cfRule type="cellIs" dxfId="0" priority="5" operator="equal">
      <formula>"Bajo"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Inventario_Activos</vt:lpstr>
      <vt:lpstr>Riesgos</vt:lpstr>
      <vt:lpstr>Matriz_Calor</vt:lpstr>
      <vt:lpstr>Tratamiento</vt:lpstr>
      <vt:lpstr>Escalas</vt:lpstr>
      <vt:lpstr>Top10_y_Graficas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219826 - ANGELO DIANCARLO QUEZADA GALLARDO</cp:lastModifiedBy>
  <cp:revision>2</cp:revision>
  <dcterms:created xsi:type="dcterms:W3CDTF">2026-07-18T17:52:14Z</dcterms:created>
  <dcterms:modified xsi:type="dcterms:W3CDTF">2026-08-22T18:03:33Z</dcterms:modified>
  <dc:language>en-US</dc:language>
</cp:coreProperties>
</file>