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cuments\Principios de Seguridad\2026\"/>
    </mc:Choice>
  </mc:AlternateContent>
  <xr:revisionPtr revIDLastSave="0" documentId="8_{B2BDC9A9-4647-4920-A028-5E728D162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 l="1"/>
  <c r="G108" i="1"/>
  <c r="G107" i="1"/>
  <c r="G89" i="1"/>
  <c r="G88" i="1"/>
  <c r="G87" i="1"/>
</calcChain>
</file>

<file path=xl/sharedStrings.xml><?xml version="1.0" encoding="utf-8"?>
<sst xmlns="http://schemas.openxmlformats.org/spreadsheetml/2006/main" count="153" uniqueCount="81">
  <si>
    <t>Rango (suma de valores por pérdida de  confidencialidad, integridad y disponibilidad)</t>
  </si>
  <si>
    <t>Valor</t>
  </si>
  <si>
    <t>Bajo (1)</t>
  </si>
  <si>
    <t>Medio (2)</t>
  </si>
  <si>
    <t>Alto (3)</t>
  </si>
  <si>
    <t>3-5</t>
  </si>
  <si>
    <t>6-10</t>
  </si>
  <si>
    <t>11-15</t>
  </si>
  <si>
    <t>Severidad</t>
  </si>
  <si>
    <t>Exposición</t>
  </si>
  <si>
    <t>Vulnerabilidad</t>
  </si>
  <si>
    <t>Capacidad</t>
  </si>
  <si>
    <t>Motivación</t>
  </si>
  <si>
    <t>Marcador</t>
  </si>
  <si>
    <t>Descripción</t>
  </si>
  <si>
    <t>Baja, no hay historial y es raro que el escenario de</t>
  </si>
  <si>
    <t>amenaza ocurra.</t>
  </si>
  <si>
    <t>Media, se han presentado casos y puede ocurrir el  escenario de amenaza.</t>
  </si>
  <si>
    <t>Alta, se han presentado suficientes casos y el</t>
  </si>
  <si>
    <t>escenario de amenaza seguramente ocurrirá.</t>
  </si>
  <si>
    <t>Probabilidad</t>
  </si>
  <si>
    <t>Sensibilidad de los activos</t>
  </si>
  <si>
    <t>Confidencialidad</t>
  </si>
  <si>
    <t>Integridad</t>
  </si>
  <si>
    <t>Disponibilidad</t>
  </si>
  <si>
    <t>Total1</t>
  </si>
  <si>
    <t>Valor1</t>
  </si>
  <si>
    <t>Valor2</t>
  </si>
  <si>
    <t>Alto</t>
  </si>
  <si>
    <t>Análisis de vulnerabilidades</t>
  </si>
  <si>
    <t>Vulnerabilidades</t>
  </si>
  <si>
    <t>Valor3</t>
  </si>
  <si>
    <t>V1- EXPOSICIÓN A VIRUS Y  CÓDIGO MALICIOSO</t>
  </si>
  <si>
    <t>V57- SUSCEPTIBILIDAD A</t>
  </si>
  <si>
    <t>FALLAS</t>
  </si>
  <si>
    <t>V10-ALMACENAMIENTO  DESPROTEGIDO</t>
  </si>
  <si>
    <t>Agentes de</t>
  </si>
  <si>
    <t>amenazas</t>
  </si>
  <si>
    <t>Eventos de</t>
  </si>
  <si>
    <t>amenaza</t>
  </si>
  <si>
    <t>A1- VIRUS  INFORMÁTICO</t>
  </si>
  <si>
    <t>E1- INFECCIÓN  POR VIRUS  INFORMÁTICO</t>
  </si>
  <si>
    <t>A53-  DISPERSORES  DE AGUA</t>
  </si>
  <si>
    <t>E34- FALLA EN  COMPONENTE  DE  TECNOLOGÍA</t>
  </si>
  <si>
    <t>A3- VISITANTES</t>
  </si>
  <si>
    <t>E14- ROBO</t>
  </si>
  <si>
    <t>Amenazas</t>
  </si>
  <si>
    <t>Riesgo = Vulnerabilidad x Amenaza x Probabilidad x</t>
  </si>
  <si>
    <t>Impacto</t>
  </si>
  <si>
    <t>Amenaza</t>
  </si>
  <si>
    <t>Riesgo  Total</t>
  </si>
  <si>
    <t>UMBRALES DE  RIESGO</t>
  </si>
  <si>
    <t>LIMITE  INFERIOR</t>
  </si>
  <si>
    <t>Límite  SUPERIOR</t>
  </si>
  <si>
    <t>ALTO</t>
  </si>
  <si>
    <t>MEDIO</t>
  </si>
  <si>
    <t>BAJO</t>
  </si>
  <si>
    <t>Riesgo = Vulnerabilidad x Amenaza x Probabilidad x  Impacto</t>
  </si>
  <si>
    <t xml:space="preserve"> </t>
  </si>
  <si>
    <t>Proceso</t>
  </si>
  <si>
    <t>Proceso 01</t>
  </si>
  <si>
    <t>Proceso 28</t>
  </si>
  <si>
    <t>Facturación</t>
  </si>
  <si>
    <t>SISTEMA X</t>
  </si>
  <si>
    <t>RED</t>
  </si>
  <si>
    <t>FACTURAS</t>
  </si>
  <si>
    <t>Activo</t>
  </si>
  <si>
    <t>Descripción del Control</t>
  </si>
  <si>
    <t>Aplicación de Controles</t>
  </si>
  <si>
    <t>Análisis de Amenazas</t>
  </si>
  <si>
    <t>Activos</t>
  </si>
  <si>
    <t>UMBRALES DE SENSIBILIDAD</t>
  </si>
  <si>
    <t>EVALUACION DE ACTIVOS</t>
  </si>
  <si>
    <t>C1 - Instalación XDR o EDR para Protección de Activos</t>
  </si>
  <si>
    <t xml:space="preserve">C2 - Plan de Mantenimiento Preventivo  </t>
  </si>
  <si>
    <t>C3 - Encriptación de Información</t>
  </si>
  <si>
    <t>RIESGO RESIDUAL</t>
  </si>
  <si>
    <t>RIESGO INHERENTE</t>
  </si>
  <si>
    <t xml:space="preserve">SENSIBILIDAD </t>
  </si>
  <si>
    <t>**Evaluar Probalidad</t>
  </si>
  <si>
    <t>**Revaluación acorde a controles implementados. Evaluar Vulnerabilidad y probabilidad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</si>
</sst>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6"/>
      <color rgb="FF000000"/>
      <name val="Georgia"/>
      <family val="1"/>
    </font>
    <font>
      <b/>
      <sz val="12"/>
      <color rgb="FF000000"/>
      <name val="Georgia"/>
      <family val="1"/>
    </font>
    <font>
      <sz val="16"/>
      <color rgb="FF000000"/>
      <name val="Georgia"/>
      <family val="1"/>
    </font>
    <font>
      <b/>
      <sz val="18"/>
      <color theme="1"/>
      <name val="Calibri"/>
      <family val="2"/>
      <scheme val="minor"/>
    </font>
    <font>
      <sz val="12"/>
      <color rgb="FF000000"/>
      <name val="Georgia"/>
      <family val="1"/>
    </font>
    <font>
      <b/>
      <sz val="14"/>
      <color rgb="FFFF0000"/>
      <name val="Calibri"/>
      <family val="2"/>
      <scheme val="minor"/>
    </font>
    <font>
      <b/>
      <sz val="14"/>
      <color rgb="FFFF0000"/>
      <name val="Georgia"/>
      <family val="1"/>
    </font>
    <font>
      <b/>
      <sz val="14"/>
      <color theme="1"/>
      <name val="Calibri"/>
      <family val="2"/>
      <scheme val="minor"/>
    </font>
    <font>
      <b/>
      <sz val="14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2"/>
      <color theme="1"/>
      <name val="Georgia"/>
      <family val="1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D2E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1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0"/>
    </xf>
    <xf numFmtId="0" fontId="2" fillId="0" borderId="6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6"/>
    </xf>
    <xf numFmtId="0" fontId="2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 indent="4"/>
    </xf>
    <xf numFmtId="0" fontId="2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/>
    <xf numFmtId="0" fontId="7" fillId="3" borderId="12" xfId="0" applyFont="1" applyFill="1" applyBorder="1" applyAlignment="1">
      <alignment horizontal="left" vertical="center" wrapText="1" indent="1"/>
    </xf>
    <xf numFmtId="0" fontId="8" fillId="0" borderId="16" xfId="0" applyFont="1" applyBorder="1"/>
    <xf numFmtId="0" fontId="9" fillId="0" borderId="13" xfId="0" applyFont="1" applyBorder="1" applyAlignment="1">
      <alignment horizontal="left" vertical="center" wrapText="1" indent="1"/>
    </xf>
    <xf numFmtId="0" fontId="8" fillId="0" borderId="17" xfId="0" applyFont="1" applyBorder="1"/>
    <xf numFmtId="0" fontId="9" fillId="0" borderId="14" xfId="0" applyFont="1" applyBorder="1" applyAlignment="1">
      <alignment horizontal="left" vertical="center" wrapText="1" indent="1"/>
    </xf>
    <xf numFmtId="0" fontId="8" fillId="0" borderId="18" xfId="0" applyFont="1" applyBorder="1"/>
    <xf numFmtId="0" fontId="9" fillId="0" borderId="15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 indent="1"/>
    </xf>
    <xf numFmtId="0" fontId="8" fillId="0" borderId="0" xfId="0" applyFont="1"/>
    <xf numFmtId="0" fontId="9" fillId="0" borderId="0" xfId="0" applyFont="1" applyAlignment="1">
      <alignment horizontal="left" vertical="center" wrapText="1" indent="1"/>
    </xf>
    <xf numFmtId="0" fontId="2" fillId="0" borderId="19" xfId="0" applyFont="1" applyBorder="1" applyAlignment="1">
      <alignment horizontal="left" vertical="center" wrapText="1" indent="1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2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2"/>
    </xf>
    <xf numFmtId="0" fontId="5" fillId="0" borderId="0" xfId="0" applyFont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5" fillId="0" borderId="9" xfId="0" applyFont="1" applyBorder="1" applyAlignment="1">
      <alignment horizontal="left" vertical="center" wrapText="1" indent="1"/>
    </xf>
    <xf numFmtId="0" fontId="2" fillId="0" borderId="21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2" fillId="0" borderId="20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12" fillId="0" borderId="0" xfId="0" applyFont="1"/>
    <xf numFmtId="0" fontId="0" fillId="7" borderId="0" xfId="0" applyFill="1"/>
    <xf numFmtId="0" fontId="12" fillId="7" borderId="0" xfId="0" applyFont="1" applyFill="1"/>
    <xf numFmtId="0" fontId="2" fillId="0" borderId="20" xfId="0" applyFont="1" applyBorder="1" applyAlignment="1">
      <alignment horizontal="left" vertical="center" wrapText="1" indent="1"/>
    </xf>
    <xf numFmtId="0" fontId="2" fillId="0" borderId="24" xfId="0" applyFont="1" applyBorder="1" applyAlignment="1">
      <alignment horizontal="left" vertical="center" wrapText="1" indent="1"/>
    </xf>
    <xf numFmtId="0" fontId="2" fillId="0" borderId="26" xfId="0" applyFont="1" applyBorder="1" applyAlignment="1">
      <alignment horizontal="left" vertical="center" wrapText="1" indent="1"/>
    </xf>
    <xf numFmtId="0" fontId="2" fillId="0" borderId="27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left" vertical="center" wrapText="1"/>
    </xf>
    <xf numFmtId="0" fontId="13" fillId="0" borderId="0" xfId="0" applyFont="1"/>
    <xf numFmtId="0" fontId="2" fillId="0" borderId="22" xfId="0" applyFont="1" applyBorder="1" applyAlignment="1">
      <alignment horizontal="left" vertical="center" wrapText="1" indent="1"/>
    </xf>
    <xf numFmtId="0" fontId="2" fillId="0" borderId="22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10" fillId="0" borderId="0" xfId="0" applyFont="1"/>
    <xf numFmtId="0" fontId="2" fillId="0" borderId="12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7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4"/>
    </xf>
    <xf numFmtId="0" fontId="2" fillId="0" borderId="6" xfId="0" applyFont="1" applyBorder="1" applyAlignment="1">
      <alignment horizontal="left" vertical="center" wrapText="1" indent="4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 indent="1"/>
    </xf>
    <xf numFmtId="0" fontId="2" fillId="0" borderId="26" xfId="0" applyFont="1" applyBorder="1" applyAlignment="1">
      <alignment horizontal="left" vertical="center" wrapText="1" indent="1"/>
    </xf>
    <xf numFmtId="0" fontId="2" fillId="0" borderId="23" xfId="0" applyFont="1" applyBorder="1" applyAlignment="1">
      <alignment horizontal="left" vertical="center" wrapText="1" indent="1"/>
    </xf>
    <xf numFmtId="0" fontId="2" fillId="0" borderId="25" xfId="0" applyFont="1" applyBorder="1" applyAlignment="1">
      <alignment horizontal="left" vertical="center" wrapText="1" indent="1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2"/>
  <sheetViews>
    <sheetView tabSelected="1" zoomScale="90" zoomScaleNormal="90" workbookViewId="0">
      <selection activeCell="B4" sqref="B4"/>
    </sheetView>
  </sheetViews>
  <sheetFormatPr defaultColWidth="11.5546875" defaultRowHeight="14.4" x14ac:dyDescent="0.3"/>
  <cols>
    <col min="2" max="2" width="25.5546875" customWidth="1"/>
    <col min="3" max="3" width="24.44140625" customWidth="1"/>
    <col min="4" max="4" width="20.33203125" bestFit="1" customWidth="1"/>
    <col min="5" max="5" width="17.77734375" bestFit="1" customWidth="1"/>
    <col min="6" max="6" width="13.88671875" customWidth="1"/>
    <col min="9" max="9" width="16" customWidth="1"/>
    <col min="10" max="10" width="18.44140625" customWidth="1"/>
    <col min="11" max="11" width="20.88671875" customWidth="1"/>
    <col min="12" max="12" width="18" customWidth="1"/>
  </cols>
  <sheetData>
    <row r="2" spans="2:11" ht="31.2" x14ac:dyDescent="0.6">
      <c r="G2" s="60" t="s">
        <v>78</v>
      </c>
    </row>
    <row r="3" spans="2:11" ht="25.8" x14ac:dyDescent="0.5">
      <c r="B3" s="54" t="s">
        <v>71</v>
      </c>
      <c r="C3" s="53"/>
      <c r="D3" s="53"/>
      <c r="E3" s="53"/>
      <c r="F3" s="53"/>
      <c r="G3" s="54"/>
      <c r="H3" s="53"/>
      <c r="I3" s="53"/>
      <c r="J3" s="53"/>
      <c r="K3" s="53"/>
    </row>
    <row r="4" spans="2:11" ht="25.8" x14ac:dyDescent="0.5">
      <c r="G4" s="52"/>
    </row>
    <row r="5" spans="2:11" ht="15" thickBot="1" x14ac:dyDescent="0.35"/>
    <row r="6" spans="2:11" ht="89.1" customHeight="1" thickBot="1" x14ac:dyDescent="0.35">
      <c r="B6" s="1" t="s">
        <v>0</v>
      </c>
      <c r="C6" s="2" t="s">
        <v>1</v>
      </c>
    </row>
    <row r="7" spans="2:11" ht="21" thickBot="1" x14ac:dyDescent="0.35">
      <c r="B7" s="4" t="s">
        <v>5</v>
      </c>
      <c r="C7" s="3" t="s">
        <v>2</v>
      </c>
    </row>
    <row r="8" spans="2:11" ht="21" thickBot="1" x14ac:dyDescent="0.35">
      <c r="B8" s="4" t="s">
        <v>6</v>
      </c>
      <c r="C8" s="3" t="s">
        <v>3</v>
      </c>
    </row>
    <row r="9" spans="2:11" ht="21" thickBot="1" x14ac:dyDescent="0.35">
      <c r="B9" s="4" t="s">
        <v>7</v>
      </c>
      <c r="C9" s="3" t="s">
        <v>4</v>
      </c>
    </row>
    <row r="13" spans="2:11" ht="24" thickBot="1" x14ac:dyDescent="0.5">
      <c r="B13" s="5" t="s">
        <v>10</v>
      </c>
    </row>
    <row r="14" spans="2:11" ht="16.2" thickBot="1" x14ac:dyDescent="0.35">
      <c r="B14" s="75" t="s">
        <v>8</v>
      </c>
      <c r="C14" s="72" t="s">
        <v>9</v>
      </c>
      <c r="D14" s="73"/>
      <c r="E14" s="74"/>
    </row>
    <row r="15" spans="2:11" ht="16.2" thickBot="1" x14ac:dyDescent="0.35">
      <c r="B15" s="76"/>
      <c r="C15" s="7">
        <v>1</v>
      </c>
      <c r="D15" s="7">
        <v>2</v>
      </c>
      <c r="E15" s="7">
        <v>3</v>
      </c>
    </row>
    <row r="16" spans="2:11" ht="16.2" thickBot="1" x14ac:dyDescent="0.35">
      <c r="B16" s="11">
        <v>1</v>
      </c>
      <c r="C16" s="8">
        <v>1</v>
      </c>
      <c r="D16" s="8">
        <v>2</v>
      </c>
      <c r="E16" s="8">
        <v>3</v>
      </c>
    </row>
    <row r="17" spans="2:5" ht="16.2" thickBot="1" x14ac:dyDescent="0.35">
      <c r="B17" s="11">
        <v>2</v>
      </c>
      <c r="C17" s="8">
        <v>2</v>
      </c>
      <c r="D17" s="8">
        <v>3</v>
      </c>
      <c r="E17" s="8">
        <v>4</v>
      </c>
    </row>
    <row r="18" spans="2:5" ht="16.2" thickBot="1" x14ac:dyDescent="0.35">
      <c r="B18" s="11">
        <v>3</v>
      </c>
      <c r="C18" s="8">
        <v>3</v>
      </c>
      <c r="D18" s="8">
        <v>4</v>
      </c>
      <c r="E18" s="8">
        <v>5</v>
      </c>
    </row>
    <row r="23" spans="2:5" ht="24" thickBot="1" x14ac:dyDescent="0.5">
      <c r="B23" s="5" t="s">
        <v>46</v>
      </c>
    </row>
    <row r="24" spans="2:5" ht="16.2" thickBot="1" x14ac:dyDescent="0.35">
      <c r="B24" s="67" t="s">
        <v>11</v>
      </c>
      <c r="C24" s="72" t="s">
        <v>12</v>
      </c>
      <c r="D24" s="73"/>
      <c r="E24" s="74"/>
    </row>
    <row r="25" spans="2:5" ht="16.2" thickBot="1" x14ac:dyDescent="0.35">
      <c r="B25" s="68"/>
      <c r="C25" s="7">
        <v>1</v>
      </c>
      <c r="D25" s="7">
        <v>2</v>
      </c>
      <c r="E25" s="7">
        <v>3</v>
      </c>
    </row>
    <row r="26" spans="2:5" ht="16.2" thickBot="1" x14ac:dyDescent="0.35">
      <c r="B26" s="13">
        <v>1</v>
      </c>
      <c r="C26" s="8">
        <v>1</v>
      </c>
      <c r="D26" s="8">
        <v>2</v>
      </c>
      <c r="E26" s="8">
        <v>3</v>
      </c>
    </row>
    <row r="27" spans="2:5" ht="16.2" thickBot="1" x14ac:dyDescent="0.35">
      <c r="B27" s="13">
        <v>2</v>
      </c>
      <c r="C27" s="8">
        <v>2</v>
      </c>
      <c r="D27" s="8">
        <v>3</v>
      </c>
      <c r="E27" s="8">
        <v>4</v>
      </c>
    </row>
    <row r="28" spans="2:5" ht="16.2" thickBot="1" x14ac:dyDescent="0.35">
      <c r="B28" s="13">
        <v>3</v>
      </c>
      <c r="C28" s="8">
        <v>3</v>
      </c>
      <c r="D28" s="8">
        <v>4</v>
      </c>
      <c r="E28" s="8">
        <v>5</v>
      </c>
    </row>
    <row r="32" spans="2:5" ht="24" thickBot="1" x14ac:dyDescent="0.5">
      <c r="B32" s="5" t="s">
        <v>20</v>
      </c>
    </row>
    <row r="33" spans="2:11" ht="16.2" thickBot="1" x14ac:dyDescent="0.35">
      <c r="B33" s="2" t="s">
        <v>13</v>
      </c>
      <c r="C33" s="2" t="s">
        <v>14</v>
      </c>
    </row>
    <row r="34" spans="2:11" ht="46.8" x14ac:dyDescent="0.3">
      <c r="B34" s="77">
        <v>1</v>
      </c>
      <c r="C34" s="9" t="s">
        <v>15</v>
      </c>
    </row>
    <row r="35" spans="2:11" ht="16.2" thickBot="1" x14ac:dyDescent="0.35">
      <c r="B35" s="78"/>
      <c r="C35" s="10" t="s">
        <v>16</v>
      </c>
    </row>
    <row r="36" spans="2:11" ht="78.599999999999994" thickBot="1" x14ac:dyDescent="0.35">
      <c r="B36" s="7">
        <v>2</v>
      </c>
      <c r="C36" s="6" t="s">
        <v>17</v>
      </c>
    </row>
    <row r="37" spans="2:11" ht="46.8" x14ac:dyDescent="0.3">
      <c r="B37" s="77">
        <v>3</v>
      </c>
      <c r="C37" s="9" t="s">
        <v>18</v>
      </c>
    </row>
    <row r="38" spans="2:11" ht="47.4" thickBot="1" x14ac:dyDescent="0.35">
      <c r="B38" s="78"/>
      <c r="C38" s="10" t="s">
        <v>19</v>
      </c>
    </row>
    <row r="39" spans="2:11" ht="15.6" x14ac:dyDescent="0.3">
      <c r="B39" s="17"/>
      <c r="C39" s="44"/>
    </row>
    <row r="40" spans="2:11" ht="15.6" x14ac:dyDescent="0.3">
      <c r="B40" s="17"/>
      <c r="C40" s="44"/>
    </row>
    <row r="41" spans="2:11" ht="15.6" x14ac:dyDescent="0.3">
      <c r="B41" s="17"/>
      <c r="C41" s="44"/>
    </row>
    <row r="42" spans="2:11" ht="25.8" x14ac:dyDescent="0.5">
      <c r="B42" s="54" t="s">
        <v>72</v>
      </c>
      <c r="C42" s="53"/>
      <c r="D42" s="53"/>
      <c r="E42" s="53"/>
      <c r="F42" s="53"/>
      <c r="G42" s="54"/>
      <c r="H42" s="53"/>
      <c r="I42" s="53"/>
      <c r="J42" s="53"/>
      <c r="K42" s="53"/>
    </row>
    <row r="44" spans="2:11" ht="15" thickBot="1" x14ac:dyDescent="0.35"/>
    <row r="45" spans="2:11" ht="18.600000000000001" thickBot="1" x14ac:dyDescent="0.4">
      <c r="B45" s="23" t="s">
        <v>59</v>
      </c>
      <c r="C45" s="24" t="s">
        <v>66</v>
      </c>
    </row>
    <row r="46" spans="2:11" ht="18" x14ac:dyDescent="0.35">
      <c r="B46" s="25" t="s">
        <v>60</v>
      </c>
      <c r="C46" s="26" t="s">
        <v>63</v>
      </c>
    </row>
    <row r="47" spans="2:11" ht="18" x14ac:dyDescent="0.35">
      <c r="B47" s="27" t="s">
        <v>61</v>
      </c>
      <c r="C47" s="28" t="s">
        <v>64</v>
      </c>
    </row>
    <row r="48" spans="2:11" ht="18.600000000000001" thickBot="1" x14ac:dyDescent="0.4">
      <c r="B48" s="29" t="s">
        <v>62</v>
      </c>
      <c r="C48" s="30" t="s">
        <v>65</v>
      </c>
    </row>
    <row r="50" spans="2:12" ht="15" thickBot="1" x14ac:dyDescent="0.35"/>
    <row r="51" spans="2:12" ht="94.2" thickBot="1" x14ac:dyDescent="0.35">
      <c r="B51" s="80" t="s">
        <v>21</v>
      </c>
      <c r="C51" s="80"/>
      <c r="D51" s="80"/>
      <c r="E51" s="80"/>
      <c r="F51" s="80"/>
      <c r="G51" s="80"/>
      <c r="H51" s="80"/>
      <c r="K51" s="14" t="s">
        <v>0</v>
      </c>
      <c r="L51" s="2" t="s">
        <v>1</v>
      </c>
    </row>
    <row r="52" spans="2:12" ht="31.8" thickBot="1" x14ac:dyDescent="0.35">
      <c r="B52" s="16" t="s">
        <v>66</v>
      </c>
      <c r="C52" s="12" t="s">
        <v>22</v>
      </c>
      <c r="D52" s="16" t="s">
        <v>23</v>
      </c>
      <c r="E52" s="16" t="s">
        <v>24</v>
      </c>
      <c r="F52" s="16" t="s">
        <v>25</v>
      </c>
      <c r="G52" s="16" t="s">
        <v>26</v>
      </c>
      <c r="H52" s="16" t="s">
        <v>27</v>
      </c>
      <c r="K52" s="4" t="s">
        <v>5</v>
      </c>
      <c r="L52" s="3" t="s">
        <v>2</v>
      </c>
    </row>
    <row r="53" spans="2:12" ht="21" thickBot="1" x14ac:dyDescent="0.35">
      <c r="B53" s="31" t="s">
        <v>63</v>
      </c>
      <c r="C53" s="7">
        <v>5</v>
      </c>
      <c r="D53" s="7">
        <v>3</v>
      </c>
      <c r="E53" s="7">
        <v>3</v>
      </c>
      <c r="F53" s="8">
        <v>11</v>
      </c>
      <c r="G53" s="8" t="s">
        <v>28</v>
      </c>
      <c r="H53" s="8">
        <v>3</v>
      </c>
      <c r="K53" s="4" t="s">
        <v>6</v>
      </c>
      <c r="L53" s="3" t="s">
        <v>3</v>
      </c>
    </row>
    <row r="54" spans="2:12" ht="21" thickBot="1" x14ac:dyDescent="0.35">
      <c r="B54" s="31" t="s">
        <v>64</v>
      </c>
      <c r="C54" s="7">
        <v>4</v>
      </c>
      <c r="D54" s="7">
        <v>3</v>
      </c>
      <c r="E54" s="7">
        <v>4</v>
      </c>
      <c r="F54" s="8">
        <v>11</v>
      </c>
      <c r="G54" s="8" t="s">
        <v>28</v>
      </c>
      <c r="H54" s="8">
        <v>3</v>
      </c>
      <c r="K54" s="4" t="s">
        <v>7</v>
      </c>
      <c r="L54" s="3" t="s">
        <v>4</v>
      </c>
    </row>
    <row r="55" spans="2:12" ht="20.100000000000001" customHeight="1" thickBot="1" x14ac:dyDescent="0.35">
      <c r="B55" s="31" t="s">
        <v>65</v>
      </c>
      <c r="C55" s="7">
        <v>4</v>
      </c>
      <c r="D55" s="7">
        <v>5</v>
      </c>
      <c r="E55" s="7">
        <v>4</v>
      </c>
      <c r="F55" s="8">
        <v>13</v>
      </c>
      <c r="G55" s="8" t="s">
        <v>28</v>
      </c>
      <c r="H55" s="8">
        <v>3</v>
      </c>
    </row>
    <row r="56" spans="2:12" ht="20.100000000000001" customHeight="1" x14ac:dyDescent="0.3">
      <c r="B56" s="17"/>
      <c r="C56" s="17"/>
      <c r="D56" s="17"/>
      <c r="E56" s="17"/>
      <c r="F56" s="17"/>
      <c r="G56" s="17"/>
      <c r="H56" s="17"/>
    </row>
    <row r="57" spans="2:12" ht="20.100000000000001" customHeight="1" x14ac:dyDescent="0.3">
      <c r="B57" s="17"/>
      <c r="C57" s="17"/>
      <c r="D57" s="17"/>
      <c r="E57" s="17"/>
      <c r="F57" s="17"/>
      <c r="G57" s="17"/>
      <c r="H57" s="17"/>
    </row>
    <row r="58" spans="2:12" ht="15" thickBot="1" x14ac:dyDescent="0.35"/>
    <row r="59" spans="2:12" ht="18.600000000000001" thickBot="1" x14ac:dyDescent="0.4">
      <c r="B59" s="23" t="s">
        <v>59</v>
      </c>
      <c r="C59" s="24" t="s">
        <v>66</v>
      </c>
    </row>
    <row r="60" spans="2:12" ht="18" x14ac:dyDescent="0.35">
      <c r="B60" s="25" t="s">
        <v>60</v>
      </c>
      <c r="C60" s="26" t="s">
        <v>63</v>
      </c>
    </row>
    <row r="61" spans="2:12" ht="18" x14ac:dyDescent="0.35">
      <c r="B61" s="27" t="s">
        <v>61</v>
      </c>
      <c r="C61" s="28" t="s">
        <v>64</v>
      </c>
    </row>
    <row r="62" spans="2:12" ht="18.600000000000001" thickBot="1" x14ac:dyDescent="0.4">
      <c r="B62" s="29" t="s">
        <v>62</v>
      </c>
      <c r="C62" s="30" t="s">
        <v>65</v>
      </c>
    </row>
    <row r="63" spans="2:12" ht="18" x14ac:dyDescent="0.35">
      <c r="B63" s="32"/>
      <c r="C63" s="33"/>
    </row>
    <row r="65" spans="2:12" ht="24" customHeight="1" thickBot="1" x14ac:dyDescent="0.5">
      <c r="B65" s="79" t="s">
        <v>29</v>
      </c>
      <c r="C65" s="79"/>
      <c r="D65" s="79"/>
      <c r="E65" s="79"/>
      <c r="F65" s="79"/>
      <c r="I65" s="69" t="s">
        <v>10</v>
      </c>
      <c r="J65" s="69"/>
      <c r="K65" s="69"/>
      <c r="L65" s="69"/>
    </row>
    <row r="66" spans="2:12" ht="35.1" customHeight="1" thickBot="1" x14ac:dyDescent="0.35">
      <c r="B66" s="50" t="s">
        <v>70</v>
      </c>
      <c r="C66" s="50" t="s">
        <v>30</v>
      </c>
      <c r="D66" s="51" t="s">
        <v>8</v>
      </c>
      <c r="E66" s="51" t="s">
        <v>9</v>
      </c>
      <c r="F66" s="51" t="s">
        <v>31</v>
      </c>
      <c r="I66" s="70" t="s">
        <v>8</v>
      </c>
      <c r="J66" s="72" t="s">
        <v>9</v>
      </c>
      <c r="K66" s="73"/>
      <c r="L66" s="74"/>
    </row>
    <row r="67" spans="2:12" ht="47.4" thickBot="1" x14ac:dyDescent="0.35">
      <c r="B67" s="62" t="s">
        <v>63</v>
      </c>
      <c r="C67" s="49" t="s">
        <v>32</v>
      </c>
      <c r="D67" s="20">
        <v>3</v>
      </c>
      <c r="E67" s="20">
        <v>3</v>
      </c>
      <c r="F67" s="22">
        <v>5</v>
      </c>
      <c r="I67" s="71"/>
      <c r="J67" s="7">
        <v>1</v>
      </c>
      <c r="K67" s="7">
        <v>2</v>
      </c>
      <c r="L67" s="7">
        <v>3</v>
      </c>
    </row>
    <row r="68" spans="2:12" ht="47.4" thickBot="1" x14ac:dyDescent="0.35">
      <c r="B68" s="82" t="s">
        <v>64</v>
      </c>
      <c r="C68" s="48" t="s">
        <v>33</v>
      </c>
      <c r="D68" s="19">
        <v>2</v>
      </c>
      <c r="E68" s="19">
        <v>3</v>
      </c>
      <c r="F68" s="21">
        <v>4</v>
      </c>
      <c r="I68" s="11">
        <v>1</v>
      </c>
      <c r="J68" s="8">
        <v>1</v>
      </c>
      <c r="K68" s="8">
        <v>2</v>
      </c>
      <c r="L68" s="8">
        <v>3</v>
      </c>
    </row>
    <row r="69" spans="2:12" ht="16.2" thickBot="1" x14ac:dyDescent="0.35">
      <c r="B69" s="82"/>
      <c r="C69" s="49" t="s">
        <v>34</v>
      </c>
      <c r="D69" s="20"/>
      <c r="E69" s="20"/>
      <c r="F69" s="22"/>
      <c r="I69" s="11">
        <v>2</v>
      </c>
      <c r="J69" s="8">
        <v>2</v>
      </c>
      <c r="K69" s="8">
        <v>3</v>
      </c>
      <c r="L69" s="8">
        <v>4</v>
      </c>
    </row>
    <row r="70" spans="2:12" ht="47.4" thickBot="1" x14ac:dyDescent="0.35">
      <c r="B70" s="63" t="s">
        <v>65</v>
      </c>
      <c r="C70" s="46" t="s">
        <v>35</v>
      </c>
      <c r="D70" s="7">
        <v>2</v>
      </c>
      <c r="E70" s="7">
        <v>3</v>
      </c>
      <c r="F70" s="8">
        <v>4</v>
      </c>
      <c r="I70" s="11">
        <v>3</v>
      </c>
      <c r="J70" s="8">
        <v>3</v>
      </c>
      <c r="K70" s="8">
        <v>4</v>
      </c>
      <c r="L70" s="8">
        <v>5</v>
      </c>
    </row>
    <row r="73" spans="2:12" ht="25.8" x14ac:dyDescent="0.5">
      <c r="B73" s="54" t="s">
        <v>77</v>
      </c>
      <c r="C73" s="53"/>
      <c r="D73" s="53"/>
      <c r="E73" s="53"/>
      <c r="F73" s="53"/>
      <c r="G73" s="54"/>
      <c r="H73" s="53"/>
      <c r="I73" s="53"/>
      <c r="J73" s="53"/>
      <c r="K73" s="53"/>
    </row>
    <row r="76" spans="2:12" ht="24" customHeight="1" thickBot="1" x14ac:dyDescent="0.5">
      <c r="B76" s="79" t="s">
        <v>69</v>
      </c>
      <c r="C76" s="79"/>
      <c r="D76" s="79"/>
      <c r="E76" s="79"/>
      <c r="F76" s="79"/>
      <c r="G76" s="79"/>
      <c r="I76" s="69" t="s">
        <v>46</v>
      </c>
      <c r="J76" s="69"/>
      <c r="K76" s="69"/>
      <c r="L76" s="69"/>
    </row>
    <row r="77" spans="2:12" ht="31.8" thickBot="1" x14ac:dyDescent="0.35">
      <c r="B77" s="81" t="s">
        <v>70</v>
      </c>
      <c r="C77" s="34" t="s">
        <v>36</v>
      </c>
      <c r="D77" s="34" t="s">
        <v>38</v>
      </c>
      <c r="E77" s="34" t="s">
        <v>11</v>
      </c>
      <c r="F77" s="35" t="s">
        <v>12</v>
      </c>
      <c r="G77" s="34" t="s">
        <v>1</v>
      </c>
      <c r="I77" s="67" t="s">
        <v>11</v>
      </c>
      <c r="J77" s="72" t="s">
        <v>12</v>
      </c>
      <c r="K77" s="73"/>
      <c r="L77" s="74"/>
    </row>
    <row r="78" spans="2:12" ht="16.2" thickBot="1" x14ac:dyDescent="0.35">
      <c r="B78" s="81"/>
      <c r="C78" s="12" t="s">
        <v>37</v>
      </c>
      <c r="D78" s="12" t="s">
        <v>39</v>
      </c>
      <c r="E78" s="12"/>
      <c r="F78" s="16"/>
      <c r="G78" s="12"/>
      <c r="I78" s="68"/>
      <c r="J78" s="7">
        <v>1</v>
      </c>
      <c r="K78" s="7">
        <v>2</v>
      </c>
      <c r="L78" s="7">
        <v>3</v>
      </c>
    </row>
    <row r="79" spans="2:12" ht="47.4" thickBot="1" x14ac:dyDescent="0.35">
      <c r="B79" s="55" t="s">
        <v>63</v>
      </c>
      <c r="C79" s="46" t="s">
        <v>40</v>
      </c>
      <c r="D79" s="6" t="s">
        <v>41</v>
      </c>
      <c r="E79" s="7">
        <v>3</v>
      </c>
      <c r="F79" s="7">
        <v>3</v>
      </c>
      <c r="G79" s="8">
        <v>5</v>
      </c>
      <c r="I79" s="13">
        <v>1</v>
      </c>
      <c r="J79" s="8">
        <v>1</v>
      </c>
      <c r="K79" s="8">
        <v>2</v>
      </c>
      <c r="L79" s="8">
        <v>3</v>
      </c>
    </row>
    <row r="80" spans="2:12" ht="63" thickBot="1" x14ac:dyDescent="0.35">
      <c r="B80" s="55" t="s">
        <v>64</v>
      </c>
      <c r="C80" s="46" t="s">
        <v>42</v>
      </c>
      <c r="D80" s="6" t="s">
        <v>43</v>
      </c>
      <c r="E80" s="7">
        <v>2</v>
      </c>
      <c r="F80" s="7">
        <v>1</v>
      </c>
      <c r="G80" s="8">
        <v>2</v>
      </c>
      <c r="I80" s="13">
        <v>2</v>
      </c>
      <c r="J80" s="8">
        <v>2</v>
      </c>
      <c r="K80" s="8">
        <v>3</v>
      </c>
      <c r="L80" s="8">
        <v>4</v>
      </c>
    </row>
    <row r="81" spans="2:12" ht="16.2" thickBot="1" x14ac:dyDescent="0.35">
      <c r="B81" s="55" t="s">
        <v>65</v>
      </c>
      <c r="C81" s="46" t="s">
        <v>44</v>
      </c>
      <c r="D81" s="6" t="s">
        <v>45</v>
      </c>
      <c r="E81" s="7">
        <v>3</v>
      </c>
      <c r="F81" s="7">
        <v>3</v>
      </c>
      <c r="G81" s="8">
        <v>5</v>
      </c>
      <c r="I81" s="13">
        <v>3</v>
      </c>
      <c r="J81" s="8">
        <v>3</v>
      </c>
      <c r="K81" s="8">
        <v>4</v>
      </c>
      <c r="L81" s="8">
        <v>5</v>
      </c>
    </row>
    <row r="83" spans="2:12" ht="15" thickBot="1" x14ac:dyDescent="0.35"/>
    <row r="84" spans="2:12" ht="32.4" customHeight="1" thickBot="1" x14ac:dyDescent="0.35">
      <c r="B84" s="83" t="s">
        <v>47</v>
      </c>
      <c r="C84" s="84"/>
      <c r="D84" s="84"/>
      <c r="E84" s="84"/>
      <c r="F84" s="85"/>
      <c r="I84" s="14" t="s">
        <v>51</v>
      </c>
      <c r="J84" s="14" t="s">
        <v>52</v>
      </c>
      <c r="K84" s="14" t="s">
        <v>53</v>
      </c>
    </row>
    <row r="85" spans="2:12" ht="16.2" thickBot="1" x14ac:dyDescent="0.35">
      <c r="B85" s="86" t="s">
        <v>48</v>
      </c>
      <c r="C85" s="87"/>
      <c r="D85" s="87"/>
      <c r="E85" s="87"/>
      <c r="F85" s="88"/>
      <c r="I85" s="38" t="s">
        <v>54</v>
      </c>
      <c r="J85" s="38">
        <v>751</v>
      </c>
      <c r="K85" s="38">
        <v>1125</v>
      </c>
    </row>
    <row r="86" spans="2:12" ht="31.8" thickBot="1" x14ac:dyDescent="0.35">
      <c r="B86" s="65" t="s">
        <v>66</v>
      </c>
      <c r="C86" s="18" t="s">
        <v>49</v>
      </c>
      <c r="D86" s="2" t="s">
        <v>10</v>
      </c>
      <c r="E86" s="2" t="s">
        <v>20</v>
      </c>
      <c r="F86" s="2" t="s">
        <v>48</v>
      </c>
      <c r="G86" s="36" t="s">
        <v>50</v>
      </c>
      <c r="I86" s="39" t="s">
        <v>55</v>
      </c>
      <c r="J86" s="39">
        <v>376</v>
      </c>
      <c r="K86" s="39">
        <v>750</v>
      </c>
    </row>
    <row r="87" spans="2:12" ht="16.2" thickBot="1" x14ac:dyDescent="0.35">
      <c r="B87" s="61" t="s">
        <v>63</v>
      </c>
      <c r="C87" s="8">
        <v>5</v>
      </c>
      <c r="D87" s="8">
        <v>5</v>
      </c>
      <c r="E87" s="7">
        <v>3</v>
      </c>
      <c r="F87" s="8">
        <v>11</v>
      </c>
      <c r="G87" s="37">
        <f>C87*D87*E87*F87</f>
        <v>825</v>
      </c>
      <c r="I87" s="40" t="s">
        <v>56</v>
      </c>
      <c r="J87" s="40">
        <v>1</v>
      </c>
      <c r="K87" s="40">
        <v>375</v>
      </c>
    </row>
    <row r="88" spans="2:12" ht="16.2" thickBot="1" x14ac:dyDescent="0.35">
      <c r="B88" s="55" t="s">
        <v>64</v>
      </c>
      <c r="C88" s="8">
        <v>2</v>
      </c>
      <c r="D88" s="8">
        <v>4</v>
      </c>
      <c r="E88" s="7">
        <v>1</v>
      </c>
      <c r="F88" s="8">
        <v>11</v>
      </c>
      <c r="G88" s="41">
        <f>C88*D88*E88*F88</f>
        <v>88</v>
      </c>
    </row>
    <row r="89" spans="2:12" ht="16.2" thickBot="1" x14ac:dyDescent="0.35">
      <c r="B89" s="55" t="s">
        <v>65</v>
      </c>
      <c r="C89" s="8">
        <v>4</v>
      </c>
      <c r="D89" s="8">
        <v>4</v>
      </c>
      <c r="E89" s="7">
        <v>3</v>
      </c>
      <c r="F89" s="8">
        <v>13</v>
      </c>
      <c r="G89" s="42">
        <f>C89*D89*E89*F89</f>
        <v>624</v>
      </c>
    </row>
    <row r="90" spans="2:12" x14ac:dyDescent="0.3">
      <c r="B90" s="64" t="s">
        <v>79</v>
      </c>
    </row>
    <row r="93" spans="2:12" ht="25.8" x14ac:dyDescent="0.5">
      <c r="B93" s="54" t="s">
        <v>76</v>
      </c>
      <c r="C93" s="53"/>
      <c r="D93" s="53"/>
      <c r="E93" s="53"/>
      <c r="F93" s="53"/>
      <c r="G93" s="54"/>
      <c r="H93" s="53"/>
      <c r="I93" s="53"/>
      <c r="J93" s="53"/>
      <c r="K93" s="53"/>
    </row>
    <row r="95" spans="2:12" ht="15" thickBot="1" x14ac:dyDescent="0.35"/>
    <row r="96" spans="2:12" ht="24" thickBot="1" x14ac:dyDescent="0.5">
      <c r="B96" s="93" t="s">
        <v>68</v>
      </c>
      <c r="C96" s="94"/>
      <c r="D96" s="94"/>
      <c r="E96" s="94"/>
      <c r="F96" s="95"/>
      <c r="I96" s="69" t="s">
        <v>10</v>
      </c>
      <c r="J96" s="69"/>
      <c r="K96" s="69"/>
      <c r="L96" s="69"/>
    </row>
    <row r="97" spans="2:12" ht="14.4" customHeight="1" thickBot="1" x14ac:dyDescent="0.35">
      <c r="B97" s="91" t="s">
        <v>66</v>
      </c>
      <c r="C97" s="89" t="s">
        <v>67</v>
      </c>
      <c r="D97" s="47" t="s">
        <v>8</v>
      </c>
      <c r="E97" s="47" t="s">
        <v>9</v>
      </c>
      <c r="F97" s="56" t="s">
        <v>1</v>
      </c>
      <c r="I97" s="70" t="s">
        <v>8</v>
      </c>
      <c r="J97" s="72" t="s">
        <v>9</v>
      </c>
      <c r="K97" s="73"/>
      <c r="L97" s="74"/>
    </row>
    <row r="98" spans="2:12" ht="15" customHeight="1" thickBot="1" x14ac:dyDescent="0.35">
      <c r="B98" s="92"/>
      <c r="C98" s="90"/>
      <c r="D98" s="57"/>
      <c r="E98" s="57"/>
      <c r="F98" s="58"/>
      <c r="I98" s="71"/>
      <c r="J98" s="7">
        <v>1</v>
      </c>
      <c r="K98" s="7">
        <v>2</v>
      </c>
      <c r="L98" s="7">
        <v>3</v>
      </c>
    </row>
    <row r="99" spans="2:12" ht="47.4" thickBot="1" x14ac:dyDescent="0.35">
      <c r="B99" s="61" t="s">
        <v>63</v>
      </c>
      <c r="C99" s="45" t="s">
        <v>73</v>
      </c>
      <c r="D99" s="10">
        <v>3</v>
      </c>
      <c r="E99" s="20">
        <v>1</v>
      </c>
      <c r="F99" s="22">
        <v>3</v>
      </c>
      <c r="I99" s="11">
        <v>1</v>
      </c>
      <c r="J99" s="8">
        <v>1</v>
      </c>
      <c r="K99" s="8">
        <v>2</v>
      </c>
      <c r="L99" s="8">
        <v>3</v>
      </c>
    </row>
    <row r="100" spans="2:12" ht="47.4" thickBot="1" x14ac:dyDescent="0.35">
      <c r="B100" s="55" t="s">
        <v>64</v>
      </c>
      <c r="C100" s="59" t="s">
        <v>74</v>
      </c>
      <c r="D100" s="6">
        <v>2</v>
      </c>
      <c r="E100" s="7">
        <v>3</v>
      </c>
      <c r="F100" s="8">
        <v>4</v>
      </c>
      <c r="I100" s="11">
        <v>2</v>
      </c>
      <c r="J100" s="8">
        <v>2</v>
      </c>
      <c r="K100" s="8">
        <v>3</v>
      </c>
      <c r="L100" s="8">
        <v>4</v>
      </c>
    </row>
    <row r="101" spans="2:12" ht="31.8" thickBot="1" x14ac:dyDescent="0.35">
      <c r="B101" s="55" t="s">
        <v>65</v>
      </c>
      <c r="C101" s="59" t="s">
        <v>75</v>
      </c>
      <c r="D101" s="6">
        <v>2</v>
      </c>
      <c r="E101" s="7">
        <v>1</v>
      </c>
      <c r="F101" s="8">
        <v>2</v>
      </c>
      <c r="I101" s="11">
        <v>3</v>
      </c>
      <c r="J101" s="8">
        <v>3</v>
      </c>
      <c r="K101" s="8">
        <v>4</v>
      </c>
      <c r="L101" s="8">
        <v>5</v>
      </c>
    </row>
    <row r="102" spans="2:12" ht="15.6" x14ac:dyDescent="0.3">
      <c r="B102" s="44"/>
      <c r="C102" s="44"/>
      <c r="D102" s="17"/>
    </row>
    <row r="103" spans="2:12" ht="15" thickBot="1" x14ac:dyDescent="0.35"/>
    <row r="104" spans="2:12" ht="47.4" customHeight="1" thickBot="1" x14ac:dyDescent="0.35">
      <c r="B104" s="72" t="s">
        <v>57</v>
      </c>
      <c r="C104" s="73"/>
      <c r="D104" s="73"/>
      <c r="E104" s="73"/>
      <c r="F104" s="74"/>
      <c r="I104" s="14" t="s">
        <v>51</v>
      </c>
      <c r="J104" s="14" t="s">
        <v>52</v>
      </c>
      <c r="K104" s="14" t="s">
        <v>53</v>
      </c>
    </row>
    <row r="105" spans="2:12" ht="16.5" customHeight="1" thickBot="1" x14ac:dyDescent="0.35">
      <c r="B105" s="67" t="s">
        <v>66</v>
      </c>
      <c r="C105" s="67" t="s">
        <v>49</v>
      </c>
      <c r="D105" s="67" t="s">
        <v>10</v>
      </c>
      <c r="E105" s="67" t="s">
        <v>20</v>
      </c>
      <c r="F105" s="67" t="s">
        <v>48</v>
      </c>
      <c r="G105" s="67" t="s">
        <v>50</v>
      </c>
      <c r="I105" s="38" t="s">
        <v>54</v>
      </c>
      <c r="J105" s="38">
        <v>751</v>
      </c>
      <c r="K105" s="38">
        <v>1125</v>
      </c>
    </row>
    <row r="106" spans="2:12" ht="16.2" thickBot="1" x14ac:dyDescent="0.35">
      <c r="B106" s="68"/>
      <c r="C106" s="68"/>
      <c r="D106" s="68"/>
      <c r="E106" s="68"/>
      <c r="F106" s="68"/>
      <c r="G106" s="68"/>
      <c r="I106" s="39" t="s">
        <v>55</v>
      </c>
      <c r="J106" s="39">
        <v>376</v>
      </c>
      <c r="K106" s="39">
        <v>750</v>
      </c>
    </row>
    <row r="107" spans="2:12" ht="16.2" customHeight="1" thickBot="1" x14ac:dyDescent="0.35">
      <c r="B107" s="61" t="s">
        <v>63</v>
      </c>
      <c r="C107" s="8">
        <v>5</v>
      </c>
      <c r="D107" s="66">
        <v>3</v>
      </c>
      <c r="E107" s="13">
        <v>1</v>
      </c>
      <c r="F107" s="15">
        <v>11</v>
      </c>
      <c r="G107" s="43">
        <f>C107*D107*E107*F107</f>
        <v>165</v>
      </c>
      <c r="I107" s="40" t="s">
        <v>56</v>
      </c>
      <c r="J107" s="40">
        <v>1</v>
      </c>
      <c r="K107" s="40">
        <v>375</v>
      </c>
    </row>
    <row r="108" spans="2:12" ht="16.2" thickBot="1" x14ac:dyDescent="0.35">
      <c r="B108" s="55" t="s">
        <v>64</v>
      </c>
      <c r="C108" s="8">
        <v>2</v>
      </c>
      <c r="D108" s="66">
        <v>4</v>
      </c>
      <c r="E108" s="13">
        <v>1</v>
      </c>
      <c r="F108" s="15">
        <v>11</v>
      </c>
      <c r="G108" s="43">
        <f t="shared" ref="G108:G109" si="0">C108*D108*E108*F108</f>
        <v>88</v>
      </c>
    </row>
    <row r="109" spans="2:12" ht="16.2" thickBot="1" x14ac:dyDescent="0.35">
      <c r="B109" s="55" t="s">
        <v>65</v>
      </c>
      <c r="C109" s="8">
        <v>4</v>
      </c>
      <c r="D109" s="66">
        <v>2</v>
      </c>
      <c r="E109" s="13">
        <v>1</v>
      </c>
      <c r="F109" s="15">
        <v>13</v>
      </c>
      <c r="G109" s="43">
        <f t="shared" si="0"/>
        <v>104</v>
      </c>
    </row>
    <row r="110" spans="2:12" x14ac:dyDescent="0.3">
      <c r="B110" s="64" t="s">
        <v>80</v>
      </c>
    </row>
    <row r="112" spans="2:12" x14ac:dyDescent="0.3">
      <c r="C112" t="s">
        <v>58</v>
      </c>
    </row>
  </sheetData>
  <mergeCells count="32">
    <mergeCell ref="B84:F84"/>
    <mergeCell ref="B85:F85"/>
    <mergeCell ref="B104:F104"/>
    <mergeCell ref="C105:C106"/>
    <mergeCell ref="D105:D106"/>
    <mergeCell ref="E105:E106"/>
    <mergeCell ref="F105:F106"/>
    <mergeCell ref="C97:C98"/>
    <mergeCell ref="B97:B98"/>
    <mergeCell ref="B96:F96"/>
    <mergeCell ref="I77:I78"/>
    <mergeCell ref="J77:L77"/>
    <mergeCell ref="B77:B78"/>
    <mergeCell ref="B68:B69"/>
    <mergeCell ref="B76:G76"/>
    <mergeCell ref="I76:L76"/>
    <mergeCell ref="B37:B38"/>
    <mergeCell ref="B65:F65"/>
    <mergeCell ref="I65:L65"/>
    <mergeCell ref="B51:H51"/>
    <mergeCell ref="I66:I67"/>
    <mergeCell ref="J66:L66"/>
    <mergeCell ref="B14:B15"/>
    <mergeCell ref="C14:E14"/>
    <mergeCell ref="B24:B25"/>
    <mergeCell ref="C24:E24"/>
    <mergeCell ref="B34:B35"/>
    <mergeCell ref="G105:G106"/>
    <mergeCell ref="B105:B106"/>
    <mergeCell ref="I96:L96"/>
    <mergeCell ref="I97:I98"/>
    <mergeCell ref="J97:L9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Denmarz-PC</dc:creator>
  <cp:lastModifiedBy>Dener Mauricio Medrano Arriaza</cp:lastModifiedBy>
  <cp:lastPrinted>2019-03-14T04:14:32Z</cp:lastPrinted>
  <dcterms:created xsi:type="dcterms:W3CDTF">2019-03-14T01:11:51Z</dcterms:created>
  <dcterms:modified xsi:type="dcterms:W3CDTF">2026-01-11T12:18:56Z</dcterms:modified>
</cp:coreProperties>
</file>